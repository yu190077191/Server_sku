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7A2D7E96-6E34-419A-AE5F-296B3A7E7977}"/>
  <workbookPr codeName="ThisWorkbook" defaultThemeVersion="124226"/>
  <workbookProtection workbookAlgorithmName="SHA-512" workbookHashValue="joAyEO9th1Gj42wKN/AI/96J2bwYQuNwzCA4FeJzVrQ1Ki0UdpRAEGAQzjXEQi0yl6KKiVHikGMttzL2/2Cw7w==" workbookSaltValue="NyqHYF6nqOXllR9xsgFB9g==" workbookSpinCount="100000" lockStructure="1"/>
  <bookViews>
    <workbookView xWindow="0" yWindow="0" windowWidth="20490" windowHeight="8340" tabRatio="798"/>
  </bookViews>
  <sheets>
    <sheet name="Instructions" sheetId="31" r:id="rId1"/>
    <sheet name="Preliminary Information" sheetId="15" r:id="rId2"/>
    <sheet name="Change log" sheetId="29" r:id="rId3"/>
    <sheet name="Document Control" sheetId="12" state="hidden" r:id="rId4"/>
    <sheet name="Source Data" sheetId="5" state="hidden" r:id="rId5"/>
  </sheets>
  <definedNames>
    <definedName name="AdditionalArea">'Source Data'!$AB$2:$AB$5</definedName>
    <definedName name="Benefit_Type">'Source Data'!$O$2:$O$5</definedName>
    <definedName name="Capex?">'Source Data'!$AC$2:$AC$3</definedName>
    <definedName name="cashable">'Source Data'!$C$2:$C$3</definedName>
    <definedName name="Category">'Source Data'!$AF$2:$AF$4</definedName>
    <definedName name="CriticalitytoStart">'Source Data'!$AD$2:$AD$5</definedName>
    <definedName name="currency">'Source Data'!$M$2:$M$162</definedName>
    <definedName name="Currency_Code">'Source Data'!$W$2</definedName>
    <definedName name="DemandManagementStatus">'Source Data'!$AE$2:$AE$13</definedName>
    <definedName name="DrivingBusiness">'Source Data'!$Y$2:$Y$14</definedName>
    <definedName name="financial">'Source Data'!$B$2:$B$3</definedName>
    <definedName name="FourByFourMatrix">#REF!</definedName>
    <definedName name="Market">'Source Data'!$AG$2:$AG$54</definedName>
    <definedName name="NBEReference">'Source Data'!$Z$2:$Z$7</definedName>
    <definedName name="_xlnm.Print_Area" localSheetId="2">'Change log'!$A$1:$E$32</definedName>
    <definedName name="Region">'Source Data'!$X$2:$X$5</definedName>
    <definedName name="riskimpactonbenefit">'Source Data'!$E$2:$E$6</definedName>
    <definedName name="riskimpactoncost">'Source Data'!$F$2:$F$5</definedName>
    <definedName name="risklikelihood">'Source Data'!$G$2:$G$7</definedName>
    <definedName name="stages">'Source Data'!$D$2:$D$6</definedName>
    <definedName name="startyear">'Source Data'!$N$2:$N$7</definedName>
    <definedName name="strategysupport">'Source Data'!$A$2:$A$5</definedName>
    <definedName name="StrategySupported">'Source Data'!$AA$2:$AA$4</definedName>
  </definedNames>
  <calcPr calcId="152511" iterate="1" iterateCount="1"/>
</workbook>
</file>

<file path=xl/calcChain.xml><?xml version="1.0" encoding="utf-8"?>
<calcChain xmlns="http://schemas.openxmlformats.org/spreadsheetml/2006/main">
  <c r="Q3" i="5" l="1"/>
  <c r="Q2" i="5"/>
  <c r="P3" i="5"/>
  <c r="P2" i="5"/>
  <c r="W2" i="5" l="1"/>
</calcChain>
</file>

<file path=xl/sharedStrings.xml><?xml version="1.0" encoding="utf-8"?>
<sst xmlns="http://schemas.openxmlformats.org/spreadsheetml/2006/main" count="529" uniqueCount="463">
  <si>
    <t>Support</t>
  </si>
  <si>
    <t>Cashable?</t>
  </si>
  <si>
    <t>Yes</t>
  </si>
  <si>
    <t>No</t>
  </si>
  <si>
    <t>Description</t>
  </si>
  <si>
    <t>Compliance</t>
  </si>
  <si>
    <t>Plan</t>
  </si>
  <si>
    <t>Version</t>
  </si>
  <si>
    <t>Date</t>
  </si>
  <si>
    <t>Author</t>
  </si>
  <si>
    <t>Comments</t>
  </si>
  <si>
    <t>Khurram Ahmad</t>
  </si>
  <si>
    <t>Financial?</t>
  </si>
  <si>
    <t>Reviewed by:</t>
  </si>
  <si>
    <t>Initial draft</t>
  </si>
  <si>
    <t xml:space="preserve">Updated to include feedback from Will Macdonald </t>
  </si>
  <si>
    <t>Initiate</t>
  </si>
  <si>
    <t>Draft 0.1</t>
  </si>
  <si>
    <t>Draft 0.2</t>
  </si>
  <si>
    <t>Draft 0.3</t>
  </si>
  <si>
    <t>Guidance tab added</t>
  </si>
  <si>
    <t>Stages</t>
  </si>
  <si>
    <t>Non-Cashable Financial Benefits</t>
  </si>
  <si>
    <t>Non-Financial Benefits</t>
  </si>
  <si>
    <t>Draft 0.4</t>
  </si>
  <si>
    <t>Guidance tab updated</t>
  </si>
  <si>
    <t>Draft 0.5</t>
  </si>
  <si>
    <t>A version 2 tab for each tab created bringing out an updated look and feel to the business case tool</t>
  </si>
  <si>
    <t>Draft 0.6</t>
  </si>
  <si>
    <t>Guidance tab brought in line with the version 2 tabs.  Version 2 tab content updated.</t>
  </si>
  <si>
    <t>Draft 0.7</t>
  </si>
  <si>
    <t>Changes resulting from meeting with Eric Magnollay</t>
  </si>
  <si>
    <t>Intangible Benefits</t>
  </si>
  <si>
    <t>Start Year</t>
  </si>
  <si>
    <t>Draft 0.8</t>
  </si>
  <si>
    <t>Draft 0.9</t>
  </si>
  <si>
    <t>Currency</t>
  </si>
  <si>
    <t>Execute &amp; Check</t>
  </si>
  <si>
    <t>Sustain &amp; Close</t>
  </si>
  <si>
    <t>Propose</t>
  </si>
  <si>
    <t>Medium - initiative directly contributes to this strategic objective</t>
  </si>
  <si>
    <t>High - initiative is essential to achieve this strategic objective</t>
  </si>
  <si>
    <t>Low - initiative indirectly contributes to this strategic objective</t>
  </si>
  <si>
    <t>Not applicable - initiative does not contribute to this strategic objective</t>
  </si>
  <si>
    <t>Added Initiative Starting Year functionality.  Added ability to stop screen flicker when macro executes.  Guidance tab removed</t>
  </si>
  <si>
    <t>Draft 0.10</t>
  </si>
  <si>
    <t>Algeria - DZD</t>
  </si>
  <si>
    <t>Andorra - EUR</t>
  </si>
  <si>
    <t>Angola - AOA</t>
  </si>
  <si>
    <t>Anguilla - XCD</t>
  </si>
  <si>
    <t>Antigua and Barbuda - XCD</t>
  </si>
  <si>
    <t>Argentina - ARS</t>
  </si>
  <si>
    <t>Australia - AUD</t>
  </si>
  <si>
    <t>Austria - EUR</t>
  </si>
  <si>
    <t>Azerbaijan - AZN</t>
  </si>
  <si>
    <t>Bahamas - BSD</t>
  </si>
  <si>
    <t>Bahrain - BHD</t>
  </si>
  <si>
    <t>Bangladesh - BDT</t>
  </si>
  <si>
    <t>Barbados - BBD</t>
  </si>
  <si>
    <t>Belgium - EUR</t>
  </si>
  <si>
    <t>Belize - BZD</t>
  </si>
  <si>
    <t>Benin - XOF</t>
  </si>
  <si>
    <t>Bolivia - BOB</t>
  </si>
  <si>
    <t>Bosnia-Herzegovina - BAM</t>
  </si>
  <si>
    <t>Botswana - BWP</t>
  </si>
  <si>
    <t>Brazil - BRL</t>
  </si>
  <si>
    <t>Bulgaria - BGN</t>
  </si>
  <si>
    <t>Burkina Faso - XOF</t>
  </si>
  <si>
    <t>Burundi - BIF</t>
  </si>
  <si>
    <t>Cambodia - KHR</t>
  </si>
  <si>
    <t>Cameroon - XAF</t>
  </si>
  <si>
    <t>Canada - CAD</t>
  </si>
  <si>
    <t>Central African Republic - XAF</t>
  </si>
  <si>
    <t>Chad - XAF</t>
  </si>
  <si>
    <t>Chile - CLP</t>
  </si>
  <si>
    <t>China - CNY</t>
  </si>
  <si>
    <t>Colombia - COP</t>
  </si>
  <si>
    <t>Comoros - KMF</t>
  </si>
  <si>
    <t>Congo - XAF</t>
  </si>
  <si>
    <t>Congo, Democratic Republic - CDF</t>
  </si>
  <si>
    <t>Costa Rica - CRC</t>
  </si>
  <si>
    <t>Côte d'Ivoire - XOF</t>
  </si>
  <si>
    <t>Croatia - HRK</t>
  </si>
  <si>
    <t>Cyprus - EUR</t>
  </si>
  <si>
    <t>Czech Republic - CZK</t>
  </si>
  <si>
    <t>Denmark - DKK</t>
  </si>
  <si>
    <t>Dominica - XCD</t>
  </si>
  <si>
    <t>Dominican Republic - DOP</t>
  </si>
  <si>
    <t>East Timor - USD</t>
  </si>
  <si>
    <t>Ecuador - USD</t>
  </si>
  <si>
    <t>Egypt - EGP</t>
  </si>
  <si>
    <t>El Salvador - USD</t>
  </si>
  <si>
    <t>Ethiopia - ETB</t>
  </si>
  <si>
    <t>Fiji - FJD</t>
  </si>
  <si>
    <t>Finland - EUR</t>
  </si>
  <si>
    <t>France - EUR</t>
  </si>
  <si>
    <t>French Polynesia - XPF</t>
  </si>
  <si>
    <t>Gabon - XAF</t>
  </si>
  <si>
    <t>Georgia - GEL</t>
  </si>
  <si>
    <t>Germany - EUR</t>
  </si>
  <si>
    <t>Ghana - GHS</t>
  </si>
  <si>
    <t>Gibraltar - GIP</t>
  </si>
  <si>
    <t>Greece - EUR</t>
  </si>
  <si>
    <t>Grenada - XCD</t>
  </si>
  <si>
    <t>Guatemala - GTQ</t>
  </si>
  <si>
    <t>Guinea - GNF</t>
  </si>
  <si>
    <t>Guinea-Bissau - XOF</t>
  </si>
  <si>
    <t>Honduras - HNL</t>
  </si>
  <si>
    <t>Hong Kong - HKD</t>
  </si>
  <si>
    <t>Hungary - HUF</t>
  </si>
  <si>
    <t>Iceland - ISK</t>
  </si>
  <si>
    <t>India - INR</t>
  </si>
  <si>
    <t>Indonesia - IDR</t>
  </si>
  <si>
    <t>Iran - IRR</t>
  </si>
  <si>
    <t>Iraq - IQD</t>
  </si>
  <si>
    <t>Ireland - EUR</t>
  </si>
  <si>
    <t>Israel - ILS</t>
  </si>
  <si>
    <t>Italy - EUR</t>
  </si>
  <si>
    <t>Jamaica - JMD</t>
  </si>
  <si>
    <t>Japan - JPY</t>
  </si>
  <si>
    <t>Jordan - JOD</t>
  </si>
  <si>
    <t>Kazakhstan - KZT</t>
  </si>
  <si>
    <t>Kenya - KES</t>
  </si>
  <si>
    <t>Kiribati - AUD</t>
  </si>
  <si>
    <t>Korea South - KRW</t>
  </si>
  <si>
    <t>Kuwait - KWD</t>
  </si>
  <si>
    <t>Lebanon - LBP</t>
  </si>
  <si>
    <t>Liberia - LRD</t>
  </si>
  <si>
    <t>Liechtenstein - CHF</t>
  </si>
  <si>
    <t>Luxembourg - EUR</t>
  </si>
  <si>
    <t>Macau - MOP</t>
  </si>
  <si>
    <t>Madagascar - MGA</t>
  </si>
  <si>
    <t>Malawi - MWK</t>
  </si>
  <si>
    <t>Malaysia - MYR</t>
  </si>
  <si>
    <t>Mali - XOF</t>
  </si>
  <si>
    <t>Malta - EUR</t>
  </si>
  <si>
    <t>Mauritius - MUR</t>
  </si>
  <si>
    <t>Mexico - MXN</t>
  </si>
  <si>
    <t>Micronesia - USD</t>
  </si>
  <si>
    <t>Moldova - MDL</t>
  </si>
  <si>
    <t>Monaco - EUR</t>
  </si>
  <si>
    <t>Montenegro - EUR</t>
  </si>
  <si>
    <t>Montserrat - XCD</t>
  </si>
  <si>
    <t>Morocco - MAD</t>
  </si>
  <si>
    <t>Myanmar - MMK</t>
  </si>
  <si>
    <t>Nauru - AUD</t>
  </si>
  <si>
    <t>Nepal - NPR</t>
  </si>
  <si>
    <t>Netherlands - EUR</t>
  </si>
  <si>
    <t>New Caledonia - XPF</t>
  </si>
  <si>
    <t>New Zealand - NZD</t>
  </si>
  <si>
    <t>Nicaragua - NIO</t>
  </si>
  <si>
    <t>Niger - XOF</t>
  </si>
  <si>
    <t>Nigeria - NGN</t>
  </si>
  <si>
    <t>Norway - NOK</t>
  </si>
  <si>
    <t>Oman - OMR</t>
  </si>
  <si>
    <t>Pakistan - PKR</t>
  </si>
  <si>
    <t>Palau - USD</t>
  </si>
  <si>
    <t>Panama - PAB</t>
  </si>
  <si>
    <t>Panama Canal Zone - USD</t>
  </si>
  <si>
    <t>Papua New Guinea - PGK</t>
  </si>
  <si>
    <t>Paraguay - PYG</t>
  </si>
  <si>
    <t>Peru - PEN</t>
  </si>
  <si>
    <t>Philippines - PHP</t>
  </si>
  <si>
    <t>Poland - PLN</t>
  </si>
  <si>
    <t>Portugal - EUR</t>
  </si>
  <si>
    <t>Puerto Rico - USD</t>
  </si>
  <si>
    <t>Qatar - QAR</t>
  </si>
  <si>
    <t>Romania - RON</t>
  </si>
  <si>
    <t>Russia - RUB</t>
  </si>
  <si>
    <t>Rwanda - RWF</t>
  </si>
  <si>
    <t>Saint Kitts and Nevis - XCD</t>
  </si>
  <si>
    <t>Saint Lucia - XCD</t>
  </si>
  <si>
    <t>Saint Vincent and the Grenadines - XCD</t>
  </si>
  <si>
    <t>San Marino - EUR</t>
  </si>
  <si>
    <t>Saudi Arabia - SAR</t>
  </si>
  <si>
    <t>Senegal - XOF</t>
  </si>
  <si>
    <t>Serbia - RSD</t>
  </si>
  <si>
    <t>Seychelles - SCR</t>
  </si>
  <si>
    <t>Sierra Leone - SLL</t>
  </si>
  <si>
    <t>Singapore - SGD</t>
  </si>
  <si>
    <t>Slovenia - EUR</t>
  </si>
  <si>
    <t>South Africa - ZAR</t>
  </si>
  <si>
    <t>Spain - EUR</t>
  </si>
  <si>
    <t>Sri Lanka - LKR</t>
  </si>
  <si>
    <t>Sweden - SEK</t>
  </si>
  <si>
    <t>Switzerland - CHF</t>
  </si>
  <si>
    <t>Syria - SYP</t>
  </si>
  <si>
    <t>Taiwan - TWD</t>
  </si>
  <si>
    <t>Tanzania - TZS</t>
  </si>
  <si>
    <t>Thailand - THB</t>
  </si>
  <si>
    <t>Togo - XOF</t>
  </si>
  <si>
    <t>Trinidad and Tobago - TTD</t>
  </si>
  <si>
    <t>Tunisia - TND</t>
  </si>
  <si>
    <t>Turkey - TRY</t>
  </si>
  <si>
    <t>Tuvalu - AUD</t>
  </si>
  <si>
    <t>Uganda - UGX</t>
  </si>
  <si>
    <t>Ukraine - UAH</t>
  </si>
  <si>
    <t>United Arab Emirates - AED</t>
  </si>
  <si>
    <t>United Kingdom - GBP</t>
  </si>
  <si>
    <t>United States of America - USD</t>
  </si>
  <si>
    <t>Uruguay - UYU</t>
  </si>
  <si>
    <t>Uzbekistan - UZS</t>
  </si>
  <si>
    <t>Vatican - EUR</t>
  </si>
  <si>
    <t>Vietnam - VND</t>
  </si>
  <si>
    <t>Wallis and Futuna Islands - XPF</t>
  </si>
  <si>
    <t>Yemen - YER</t>
  </si>
  <si>
    <t>Removed "Draft" references.  Renamed Business Case to Business Case Framework.  Updated Currency drop-down list with all possible countries and related currencies.  Globe logo added.</t>
  </si>
  <si>
    <t>Draft 0.11</t>
  </si>
  <si>
    <t>William MacDonald, Christopher Munday, Eric Northcote</t>
  </si>
  <si>
    <t>Changes from GBSM meetings covering Payback Period, local currency, title to non-financial plan field.</t>
  </si>
  <si>
    <t>Likelihood</t>
  </si>
  <si>
    <t>Impact on Benefit</t>
  </si>
  <si>
    <t>No impact on benefits</t>
  </si>
  <si>
    <t>High (Significant reduction in key benefits)</t>
  </si>
  <si>
    <t>Low (Minor reduction in benefits)</t>
  </si>
  <si>
    <t>Medium (Some reduction in key benefits)</t>
  </si>
  <si>
    <t xml:space="preserve">Added error handling to the IRR fields to counter #NUM scenarios.  On the key risks tab, renamed Probability to Likelihood, Impact to Impact on Cost and added a new column called Impact on Benefits.  </t>
  </si>
  <si>
    <t>Draft 0.12</t>
  </si>
  <si>
    <t>Updated security password on all worksheets of framework</t>
  </si>
  <si>
    <t>Draft 0.13</t>
  </si>
  <si>
    <t>Very High (May negate business case)</t>
  </si>
  <si>
    <t xml:space="preserve">Expanded impact field width in Key Risks tab.  Changed formatting in Benefit Realisation tab to not show zeros on linked fields.  </t>
  </si>
  <si>
    <t>Draft 0.14</t>
  </si>
  <si>
    <t>Baseline Measure</t>
  </si>
  <si>
    <t>Updated input messages on the Benefits Management.  Extended the Support field width on Strategic Alignment tab.</t>
  </si>
  <si>
    <t>Draft 0.15</t>
  </si>
  <si>
    <t>Changes made to the guidance on scope and accountable benefit owner fields.</t>
  </si>
  <si>
    <t>v1.0</t>
  </si>
  <si>
    <t>Signed off version</t>
  </si>
  <si>
    <t>v1.01</t>
  </si>
  <si>
    <t>Discount rate updatet to 5%, based on GFC feedback (Eric Magnollay)</t>
  </si>
  <si>
    <t>Michal Krcmar</t>
  </si>
  <si>
    <t>Eric Magnollay</t>
  </si>
  <si>
    <t>Draft V1.1</t>
  </si>
  <si>
    <t>Quick wins improvements</t>
  </si>
  <si>
    <t>Nutrition</t>
  </si>
  <si>
    <t>Benefit Type</t>
  </si>
  <si>
    <t>Basis for Valuation</t>
  </si>
  <si>
    <t>Linked Value type</t>
  </si>
  <si>
    <t>Key Valuation Measure</t>
  </si>
  <si>
    <t>Leave this field blank</t>
  </si>
  <si>
    <t>Total</t>
  </si>
  <si>
    <t>Annual Non-financial benefit</t>
  </si>
  <si>
    <t>Who</t>
  </si>
  <si>
    <t>Currency code</t>
  </si>
  <si>
    <t>Cashable</t>
  </si>
  <si>
    <t>Cashable Financial Benefits</t>
  </si>
  <si>
    <t>Benefit Type short</t>
  </si>
  <si>
    <t>Non-Cashable</t>
  </si>
  <si>
    <t>Non-Financial</t>
  </si>
  <si>
    <t>Intangible</t>
  </si>
  <si>
    <t>Impact</t>
  </si>
  <si>
    <t>A: Almost Certain</t>
  </si>
  <si>
    <t>B: Highly Probable</t>
  </si>
  <si>
    <t>C: Probable</t>
  </si>
  <si>
    <t>D: Fairly Likely</t>
  </si>
  <si>
    <t>E: Unlikely</t>
  </si>
  <si>
    <t>F: Almost Impossible</t>
  </si>
  <si>
    <t xml:space="preserve"> 1: Negligible</t>
  </si>
  <si>
    <t xml:space="preserve"> 2: Moderate</t>
  </si>
  <si>
    <t xml:space="preserve"> 3: Significant</t>
  </si>
  <si>
    <t xml:space="preserve"> 4: Major</t>
  </si>
  <si>
    <t>1: Negligible</t>
  </si>
  <si>
    <t>2: Moderate</t>
  </si>
  <si>
    <t>3: Significant</t>
  </si>
  <si>
    <t>4: Major</t>
  </si>
  <si>
    <t>Macedonia - MKD</t>
  </si>
  <si>
    <t>Confidential</t>
  </si>
  <si>
    <t>Region</t>
  </si>
  <si>
    <t>AMS</t>
  </si>
  <si>
    <t>EMENA</t>
  </si>
  <si>
    <t>AOA</t>
  </si>
  <si>
    <t>Center</t>
  </si>
  <si>
    <t>Driving Business</t>
  </si>
  <si>
    <t>BPW</t>
  </si>
  <si>
    <t>Confectionary</t>
  </si>
  <si>
    <t>CPW</t>
  </si>
  <si>
    <t>Dairy</t>
  </si>
  <si>
    <t>Food</t>
  </si>
  <si>
    <t>Ice-Cream</t>
  </si>
  <si>
    <t>Nespresso</t>
  </si>
  <si>
    <t>Nestlé Health Science</t>
  </si>
  <si>
    <t>Nestlé Professional</t>
  </si>
  <si>
    <t>Petcare</t>
  </si>
  <si>
    <t>Special-T</t>
  </si>
  <si>
    <t>Waters</t>
  </si>
  <si>
    <t>Source to Pay</t>
  </si>
  <si>
    <t>Order to Cash</t>
  </si>
  <si>
    <t>Record to Report</t>
  </si>
  <si>
    <t>Hire to Retire</t>
  </si>
  <si>
    <t>Plan to Execute</t>
  </si>
  <si>
    <t>Idea to Launch</t>
  </si>
  <si>
    <t>NBE Reference</t>
  </si>
  <si>
    <t>Standardize</t>
  </si>
  <si>
    <t>Simplify</t>
  </si>
  <si>
    <t>Share</t>
  </si>
  <si>
    <t>Automation</t>
  </si>
  <si>
    <t>Additional Area</t>
  </si>
  <si>
    <t>Business Analytics</t>
  </si>
  <si>
    <t>Digital/DSU</t>
  </si>
  <si>
    <t>GLOBE Technology Solutions</t>
  </si>
  <si>
    <t>Master Data Management Lifecycle</t>
  </si>
  <si>
    <t>Capex Required</t>
  </si>
  <si>
    <t>3S Strategy Supported</t>
  </si>
  <si>
    <t>1-2 Months</t>
  </si>
  <si>
    <t>3-6 Months</t>
  </si>
  <si>
    <t>6-12 Months</t>
  </si>
  <si>
    <t>Later Than 1 Year</t>
  </si>
  <si>
    <t>Criticality to Start</t>
  </si>
  <si>
    <t>Demand Management General Status</t>
  </si>
  <si>
    <t>Created</t>
  </si>
  <si>
    <t>Submitted</t>
  </si>
  <si>
    <t>Under Review</t>
  </si>
  <si>
    <t>Rework Required</t>
  </si>
  <si>
    <t>Endorsed by NiM</t>
  </si>
  <si>
    <t>Rejected by NIM</t>
  </si>
  <si>
    <t>Endorsed by E2E Functional Lead/NBE Lead/GBSM</t>
  </si>
  <si>
    <t>Rejected by E2E Program Steering/Additional Area Steering</t>
  </si>
  <si>
    <t>Conditional Approval</t>
  </si>
  <si>
    <t>Approved to execution by E2E Program Steering/Additional Area Steering</t>
  </si>
  <si>
    <t>Endorsed by E2E Program Steering/Additional Area Steering</t>
  </si>
  <si>
    <t>Approved by NBE Executive Steering</t>
  </si>
  <si>
    <t>Category</t>
  </si>
  <si>
    <t>Legal/fiscal changes</t>
  </si>
  <si>
    <t>Other</t>
  </si>
  <si>
    <t>NBE Demand Management Related - Created Feb 29th 2016</t>
  </si>
  <si>
    <t>Key Benefit Realization Measure</t>
  </si>
  <si>
    <t>Preliminary Information</t>
  </si>
  <si>
    <t>Contribution to NBE E2E Value drivers / KPI`s</t>
  </si>
  <si>
    <t>Provide requested information to submit this Request for Improvement for Preliminary Approval</t>
  </si>
  <si>
    <t>Request for Improvement Content Change Log</t>
  </si>
  <si>
    <t xml:space="preserve">Preliminary Business Case Preparation - Quick Reference Guide </t>
  </si>
  <si>
    <t>Objectives</t>
  </si>
  <si>
    <t>Business Case template</t>
  </si>
  <si>
    <t xml:space="preserve">In most cases this is a Program name. It should be short and clear. Avoid using acronyms. 
</t>
  </si>
  <si>
    <t>Initiative Name:</t>
  </si>
  <si>
    <t>Prepared by:</t>
  </si>
  <si>
    <t>Description:</t>
  </si>
  <si>
    <t>Scope:</t>
  </si>
  <si>
    <t>Business Case Owner:</t>
  </si>
  <si>
    <t>Currency:</t>
  </si>
  <si>
    <t>Market:</t>
  </si>
  <si>
    <t>Driving Business:</t>
  </si>
  <si>
    <t>NBE E2E Flow:</t>
  </si>
  <si>
    <t>Initial Cost Estimation:</t>
  </si>
  <si>
    <t>Additional Area:</t>
  </si>
  <si>
    <t>Capex Estimation:</t>
  </si>
  <si>
    <t>Contribution to NBE E2E Value drivers / KPI`s:</t>
  </si>
  <si>
    <t>E2E Lead:</t>
  </si>
  <si>
    <t>Executive Sponsor:</t>
  </si>
  <si>
    <t>Endorsement Date:</t>
  </si>
  <si>
    <t>The name of a person who collected the information in the Business Case file. Avoid using business categories/departments.</t>
  </si>
  <si>
    <t xml:space="preserve">Short and clear explanation of the initiative objectives. Background information can be attached as a separate document.
</t>
  </si>
  <si>
    <t>Elements within the scope and out of the scope must be well defined (for e.g. consider logical boundaries of process, data, technology, organizations impacted, key deliverables, time boundaries, etc).</t>
  </si>
  <si>
    <t>Please summarize the key Benefits to be delivered by this initiative and any Risk / Impact if not done.</t>
  </si>
  <si>
    <t xml:space="preserve">Should be a name of person with the responsibility to ensure that the Business Case is aligned with the Business Strategic objectives. The position of the person may also be included.
</t>
  </si>
  <si>
    <t xml:space="preserve">Must be selected to be able to compare with other Business Cases as needed.
</t>
  </si>
  <si>
    <t xml:space="preserve">Please indicate the requestor Market </t>
  </si>
  <si>
    <t>Please indicate the initiator Business</t>
  </si>
  <si>
    <t>Please select relevant Additional Area if Request for Improvement is not related with the other 6 E2E</t>
  </si>
  <si>
    <t>Field to be detailed during March</t>
  </si>
  <si>
    <t>If Market Request, provide the name of the NIM E2E Lead endorsing this initiative. LGO GLOBE Manager to sign-off if request for improvement is for Other Areas (Data, Digital, BA or GTS).</t>
  </si>
  <si>
    <t>If Market Request, Please provide the name of the NIM Integration Lead endorsing this initiative.</t>
  </si>
  <si>
    <t>Document here when the Endorsement was given. Additional evidence are welcome to document it and can be attached to the BR under Nestool</t>
  </si>
  <si>
    <t>Preliminary Business Case</t>
  </si>
  <si>
    <t>Initial Capex Estimation</t>
  </si>
  <si>
    <t>or</t>
  </si>
  <si>
    <t>Initial Benefits Estimation</t>
  </si>
  <si>
    <t>General Benefits 
and Risk of not doing:</t>
  </si>
  <si>
    <t>Nescafé Dolce Gusto</t>
  </si>
  <si>
    <t>Initial Benefits Estimation:</t>
  </si>
  <si>
    <t>Desired Start &amp; Closure Dates</t>
  </si>
  <si>
    <t>Please provide on this field the desired dates</t>
  </si>
  <si>
    <t>*mandatory fields</t>
  </si>
  <si>
    <t>Initiative Name*</t>
  </si>
  <si>
    <t>Prepared by*</t>
  </si>
  <si>
    <t>Description*</t>
  </si>
  <si>
    <t>Scope*</t>
  </si>
  <si>
    <t>Business Case Owner*</t>
  </si>
  <si>
    <t>Desired Start Date*</t>
  </si>
  <si>
    <t>Desired Closure Date*</t>
  </si>
  <si>
    <t>General Benefits
and Risk of not doing*</t>
  </si>
  <si>
    <t>Market / OPCO*</t>
  </si>
  <si>
    <t>NBE E2E Flow*</t>
  </si>
  <si>
    <t>Additional Area*</t>
  </si>
  <si>
    <t>Driving Business*</t>
  </si>
  <si>
    <t>Currency*</t>
  </si>
  <si>
    <t>Initial Cost Estimation*</t>
  </si>
  <si>
    <t>E2E Lead*</t>
  </si>
  <si>
    <t>Executive Sponsor*</t>
  </si>
  <si>
    <t>Endorsement Date*</t>
  </si>
  <si>
    <t>E2E Flow to review this Request for Improvement.
In case cross E2E, please detail it under scope description.
If request is for Additional Area, please leave this field blank.</t>
  </si>
  <si>
    <t>The Preliminary Business Case is a supporting document to be provided to NBE Management team that will use it to review the Request for Improvement and give "Preliminary Approval" so further work can start such as Functional &amp; Technical Assessment and/or Project Structuring. 
To be able to support the right decision, it must be completed in the standard template and have the necessary endorsements from respective Sponsors.
This Quick Reference Guide is intended to assist Business Case creators and owners with the preparation of Business Cases.</t>
  </si>
  <si>
    <t>Please enter figures in "Thousands" of selected currency all Local, RBS &amp; D&amp;B Costs identified at the moment.</t>
  </si>
  <si>
    <t>Please enter figures in "Thousands" of selected currency all CAPEX Costs identified at the moment (as needed)</t>
  </si>
  <si>
    <t>Please enter figure in "Thousands" of selected currency if estimation is available at this stage. Can be financial or efficiency.</t>
  </si>
  <si>
    <t>Change Log</t>
  </si>
  <si>
    <t>To be used as needed</t>
  </si>
  <si>
    <t>NPDI Identifier</t>
  </si>
  <si>
    <t>Program / Project Manager</t>
  </si>
  <si>
    <t>Nestool BR ID</t>
  </si>
  <si>
    <t>Estimations General Notes*</t>
  </si>
  <si>
    <t>Please summarize how the figures were calculated &amp; estimated</t>
  </si>
  <si>
    <t>Market</t>
  </si>
  <si>
    <t>AMS.Brazil</t>
  </si>
  <si>
    <t>AMS.Canada</t>
  </si>
  <si>
    <t>AMS.Mexico</t>
  </si>
  <si>
    <t>AMS.Nestle Waters North America</t>
  </si>
  <si>
    <t>AMS.Plata Region</t>
  </si>
  <si>
    <t>AMS.Purina Petcare North America</t>
  </si>
  <si>
    <t>AMS.USA</t>
  </si>
  <si>
    <t>AOA.CWAR</t>
  </si>
  <si>
    <t>AOA.EAR</t>
  </si>
  <si>
    <t>AOA.Greater China</t>
  </si>
  <si>
    <t>AOA.Indochina</t>
  </si>
  <si>
    <t>AOA.Indonesia</t>
  </si>
  <si>
    <t>AOA.Israel</t>
  </si>
  <si>
    <t>AOA.Japan</t>
  </si>
  <si>
    <t>AOA.Korea</t>
  </si>
  <si>
    <t>AOA.Maghreb</t>
  </si>
  <si>
    <t>AOA.Malaysia &amp; Singapore</t>
  </si>
  <si>
    <t>AOA.Middle East</t>
  </si>
  <si>
    <t>AOA.NEAR</t>
  </si>
  <si>
    <t>AOA.Oceania</t>
  </si>
  <si>
    <t>AOA.Pakistan</t>
  </si>
  <si>
    <t>AOA.Philippines</t>
  </si>
  <si>
    <t>AOA.South Asia</t>
  </si>
  <si>
    <t>AOA.Turkey</t>
  </si>
  <si>
    <t>AOA.ZAR</t>
  </si>
  <si>
    <t>EUR.Adriatic Region</t>
  </si>
  <si>
    <t>EUR.Austria</t>
  </si>
  <si>
    <t>EUR.Benelux Region</t>
  </si>
  <si>
    <t>EUR.Czech &amp; Slovak Republic</t>
  </si>
  <si>
    <t>EUR.France</t>
  </si>
  <si>
    <t>EUR.Germany</t>
  </si>
  <si>
    <t>EUR.Hungary</t>
  </si>
  <si>
    <t>EUR.Iberian Region</t>
  </si>
  <si>
    <t>EUR.Italy &amp; Malta</t>
  </si>
  <si>
    <t>EUR.Nordic Region</t>
  </si>
  <si>
    <t>EUR.Poland &amp; Baltic States</t>
  </si>
  <si>
    <t>EUR.Russia &amp; Eurasia Region</t>
  </si>
  <si>
    <t>EUR.South East Europe</t>
  </si>
  <si>
    <t>EUR.Switzerland</t>
  </si>
  <si>
    <t>EUR.UK &amp; Ireland</t>
  </si>
  <si>
    <t>EUR.Ukraine &amp; Moldova</t>
  </si>
  <si>
    <t>GLOBE.GLOBE Office AMS</t>
  </si>
  <si>
    <t>GLOBE.GLOBE Office AOA</t>
  </si>
  <si>
    <t>GLOBE.GLOBE Office Center</t>
  </si>
  <si>
    <t>GLOBE.GLOBE Office EUR</t>
  </si>
  <si>
    <t>Multiple Markets or Regions</t>
  </si>
  <si>
    <t>NPDI Identifier:</t>
  </si>
  <si>
    <t>If this Request for Improvement is part of an existent Project or Program, please provide NPDI ID for this initiative.</t>
  </si>
  <si>
    <t>Nestool BR ID:</t>
  </si>
  <si>
    <t>If already known, provide a Nestool BR ID for this initiative.</t>
  </si>
  <si>
    <t>Link to Preliminary Business Case Folder:</t>
  </si>
  <si>
    <t>This template must be locally saved, once ready to be submitted it should be re-labeled following the name convention and uploaded to the GLOBE Library: Documentum for every Request for Improvement that is not System Maintenance related.
Only fields with white background can be edited, other fields are locked.</t>
  </si>
  <si>
    <t>Name Convention: "Market_Initiative Name"      ex: Canada_BPAID - Distributor Data</t>
  </si>
  <si>
    <t>AMS.Peru / Bolivia</t>
  </si>
  <si>
    <t>AMS.Chile</t>
  </si>
  <si>
    <t>AMS.Venezuela</t>
  </si>
  <si>
    <t>AMS.Caribbean</t>
  </si>
  <si>
    <t>AMS.Central America</t>
  </si>
  <si>
    <t>AMS.Colombia / Ecuador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</si>
</sst>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31">
    <font>
      <sz val="11"/>
      <color theme="1"/>
      <name val="Calibri"/>
      <family val="2"/>
      <scheme val="minor"/>
    </font>
    <font>
      <sz val="11"/>
      <color theme="1"/>
      <name val="Calibri"/>
      <family val="2"/>
      <scheme val="minor"/>
    </font>
    <font>
      <sz val="11"/>
      <color theme="0"/>
      <name val="Calibri"/>
      <family val="2"/>
      <scheme val="minor"/>
    </font>
    <font>
      <sz val="20"/>
      <color theme="1"/>
      <name val="Calibri"/>
      <family val="2"/>
      <scheme val="minor"/>
    </font>
    <font>
      <sz val="24"/>
      <color theme="1"/>
      <name val="Calibri"/>
      <family val="2"/>
      <scheme val="minor"/>
    </font>
    <font>
      <sz val="24"/>
      <name val="Calibri"/>
      <family val="2"/>
      <scheme val="minor"/>
    </font>
    <font>
      <b/>
      <sz val="11"/>
      <color theme="1"/>
      <name val="Calibri"/>
      <family val="2"/>
      <scheme val="minor"/>
    </font>
    <font>
      <b/>
      <sz val="11"/>
      <name val="Calibri"/>
      <family val="2"/>
      <scheme val="minor"/>
    </font>
    <font>
      <sz val="9"/>
      <color theme="1"/>
      <name val="Calibri"/>
      <family val="2"/>
      <scheme val="minor"/>
    </font>
    <font>
      <sz val="11"/>
      <color theme="1"/>
      <name val="Wingdings"/>
      <charset val="2"/>
    </font>
    <font>
      <sz val="8"/>
      <color theme="1"/>
      <name val="Calibri"/>
      <family val="2"/>
      <scheme val="minor"/>
    </font>
    <font>
      <sz val="11"/>
      <color theme="0" tint="-0.249977111117893"/>
      <name val="Calibri"/>
      <family val="2"/>
      <scheme val="minor"/>
    </font>
    <font>
      <sz val="10"/>
      <name val="AGaramond"/>
    </font>
    <font>
      <sz val="10"/>
      <name val="Arial"/>
      <family val="2"/>
    </font>
    <font>
      <b/>
      <sz val="14"/>
      <color indexed="9"/>
      <name val="Arial"/>
      <family val="2"/>
    </font>
    <font>
      <b/>
      <sz val="14"/>
      <name val="Arial"/>
      <family val="2"/>
    </font>
    <font>
      <sz val="9"/>
      <color theme="1"/>
      <name val="Calibri"/>
      <family val="2"/>
    </font>
    <font>
      <b/>
      <sz val="15"/>
      <color theme="3"/>
      <name val="Calibri"/>
      <family val="2"/>
    </font>
    <font>
      <b/>
      <sz val="13"/>
      <color theme="3"/>
      <name val="Calibri"/>
      <family val="2"/>
    </font>
    <font>
      <sz val="8"/>
      <color theme="1"/>
      <name val="Calibri"/>
      <family val="2"/>
    </font>
    <font>
      <sz val="10"/>
      <name val="AGaramond"/>
      <family val="2"/>
    </font>
    <font>
      <sz val="11"/>
      <color indexed="8"/>
      <name val="Calibri"/>
      <family val="2"/>
    </font>
    <font>
      <u/>
      <sz val="10"/>
      <color theme="10"/>
      <name val="AGaramond"/>
    </font>
    <font>
      <b/>
      <sz val="16"/>
      <color theme="0"/>
      <name val="Calibri"/>
      <family val="2"/>
      <scheme val="minor"/>
    </font>
    <font>
      <b/>
      <sz val="9"/>
      <color theme="1"/>
      <name val="Calibri"/>
      <family val="2"/>
      <scheme val="minor"/>
    </font>
    <font>
      <sz val="11"/>
      <color rgb="FFFF0000"/>
      <name val="Calibri"/>
      <family val="2"/>
      <scheme val="minor"/>
    </font>
    <font>
      <i/>
      <sz val="11"/>
      <color theme="1"/>
      <name val="Calibri"/>
      <family val="2"/>
      <scheme val="minor"/>
    </font>
    <font>
      <sz val="11"/>
      <name val="Calibri"/>
      <family val="2"/>
      <scheme val="minor"/>
    </font>
    <font>
      <b/>
      <sz val="14"/>
      <color rgb="FF000000"/>
      <name val="Calibri"/>
      <family val="2"/>
      <scheme val="minor"/>
    </font>
    <font>
      <u/>
      <sz val="11"/>
      <color theme="10"/>
      <name val="Calibri"/>
      <family val="2"/>
      <scheme val="minor"/>
    </font>
    <font>
      <u/>
      <sz val="9"/>
      <color theme="1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52"/>
        <bgColor indexed="64"/>
      </patternFill>
    </fill>
    <fill>
      <patternFill patternType="solid">
        <fgColor indexed="10"/>
        <bgColor indexed="64"/>
      </patternFill>
    </fill>
    <fill>
      <patternFill patternType="solid">
        <fgColor indexed="13"/>
        <bgColor indexed="64"/>
      </patternFill>
    </fill>
    <fill>
      <patternFill patternType="solid">
        <fgColor rgb="FF92D050"/>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diagonal/>
    </border>
    <border>
      <left/>
      <right style="thin">
        <color theme="0" tint="-0.14993743705557422"/>
      </right>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s>
  <cellStyleXfs count="23">
    <xf numFmtId="0" fontId="0" fillId="0" borderId="0"/>
    <xf numFmtId="0" fontId="12" fillId="0" borderId="0"/>
    <xf numFmtId="0" fontId="16" fillId="0" borderId="0"/>
    <xf numFmtId="0" fontId="17" fillId="0" borderId="23" applyNumberFormat="0" applyFill="0" applyAlignment="0" applyProtection="0"/>
    <xf numFmtId="0" fontId="18" fillId="0" borderId="24" applyNumberFormat="0" applyFill="0" applyAlignment="0" applyProtection="0"/>
    <xf numFmtId="0" fontId="19" fillId="0" borderId="0"/>
    <xf numFmtId="0" fontId="10" fillId="0" borderId="0">
      <alignment wrapText="1"/>
    </xf>
    <xf numFmtId="0" fontId="20" fillId="0" borderId="0"/>
    <xf numFmtId="0" fontId="16" fillId="0" borderId="0"/>
    <xf numFmtId="0" fontId="19" fillId="0" borderId="0"/>
    <xf numFmtId="0" fontId="19" fillId="0" borderId="0"/>
    <xf numFmtId="0" fontId="1"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 fillId="0" borderId="0"/>
    <xf numFmtId="9" fontId="21"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0" fontId="1" fillId="0" borderId="0"/>
    <xf numFmtId="0" fontId="29" fillId="0" borderId="0" applyNumberFormat="0" applyFill="0" applyBorder="0" applyAlignment="0" applyProtection="0"/>
  </cellStyleXfs>
  <cellXfs count="203">
    <xf numFmtId="0" fontId="0" fillId="0" borderId="0" xfId="0"/>
    <xf numFmtId="0" fontId="0" fillId="0" borderId="0" xfId="0" applyFill="1" applyBorder="1"/>
    <xf numFmtId="0" fontId="0" fillId="0" borderId="1" xfId="0" applyBorder="1" applyAlignment="1">
      <alignment vertical="top" wrapText="1"/>
    </xf>
    <xf numFmtId="0" fontId="0" fillId="0" borderId="0" xfId="0" applyFont="1"/>
    <xf numFmtId="0" fontId="0" fillId="0" borderId="7" xfId="0" applyBorder="1" applyAlignment="1">
      <alignment vertical="top" wrapText="1"/>
    </xf>
    <xf numFmtId="15" fontId="0" fillId="0" borderId="5" xfId="0" applyNumberFormat="1" applyFont="1" applyBorder="1" applyAlignment="1">
      <alignment vertical="top" wrapText="1"/>
    </xf>
    <xf numFmtId="15" fontId="0" fillId="0" borderId="1" xfId="0" applyNumberFormat="1" applyFont="1" applyBorder="1" applyAlignment="1">
      <alignment horizontal="center" vertical="top" wrapText="1"/>
    </xf>
    <xf numFmtId="0" fontId="0" fillId="0" borderId="6" xfId="0" applyBorder="1" applyAlignment="1">
      <alignment horizontal="center" vertical="top" wrapText="1"/>
    </xf>
    <xf numFmtId="0" fontId="0" fillId="2" borderId="2" xfId="0" applyFont="1" applyFill="1" applyBorder="1" applyAlignment="1">
      <alignment horizontal="center" vertical="center" wrapText="1"/>
    </xf>
    <xf numFmtId="0" fontId="0" fillId="2" borderId="3" xfId="0" applyFont="1" applyFill="1" applyBorder="1" applyAlignment="1">
      <alignment horizontal="center" vertic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18" xfId="0" applyBorder="1" applyAlignment="1">
      <alignment horizontal="center" vertical="top" wrapText="1"/>
    </xf>
    <xf numFmtId="15" fontId="0" fillId="0" borderId="17" xfId="0" applyNumberFormat="1" applyFont="1" applyBorder="1" applyAlignment="1">
      <alignment horizontal="center" vertical="top" wrapText="1"/>
    </xf>
    <xf numFmtId="0" fontId="0" fillId="0" borderId="17" xfId="0" applyBorder="1" applyAlignment="1">
      <alignment vertical="top" wrapText="1"/>
    </xf>
    <xf numFmtId="0" fontId="0" fillId="0" borderId="5" xfId="0" applyBorder="1" applyAlignment="1">
      <alignment vertical="top" wrapText="1"/>
    </xf>
    <xf numFmtId="0" fontId="0" fillId="0" borderId="0" xfId="0" applyProtection="1"/>
    <xf numFmtId="0" fontId="0" fillId="0" borderId="19" xfId="0" applyBorder="1" applyAlignment="1">
      <alignment vertical="top" wrapText="1"/>
    </xf>
    <xf numFmtId="0" fontId="0" fillId="0" borderId="9" xfId="0" applyBorder="1" applyAlignment="1">
      <alignment horizontal="center" vertical="top" wrapText="1"/>
    </xf>
    <xf numFmtId="15" fontId="0" fillId="0" borderId="17" xfId="0" applyNumberFormat="1" applyBorder="1" applyAlignment="1">
      <alignment horizontal="center" vertical="top" wrapText="1"/>
    </xf>
    <xf numFmtId="0" fontId="0" fillId="0" borderId="20" xfId="0" applyBorder="1" applyAlignment="1">
      <alignment vertical="top" wrapText="1"/>
    </xf>
    <xf numFmtId="0" fontId="0" fillId="0" borderId="0" xfId="0" applyFill="1" applyBorder="1" applyProtection="1"/>
    <xf numFmtId="0" fontId="5" fillId="0" borderId="0" xfId="0" applyFont="1" applyFill="1" applyBorder="1" applyProtection="1"/>
    <xf numFmtId="0" fontId="2" fillId="0" borderId="0" xfId="0" applyFont="1" applyFill="1" applyBorder="1" applyProtection="1"/>
    <xf numFmtId="0" fontId="0" fillId="3" borderId="0" xfId="0" applyFill="1" applyBorder="1" applyProtection="1"/>
    <xf numFmtId="0" fontId="3" fillId="3" borderId="0" xfId="0" applyFont="1" applyFill="1" applyBorder="1" applyProtection="1"/>
    <xf numFmtId="0" fontId="2" fillId="3" borderId="0" xfId="0" applyFont="1" applyFill="1" applyBorder="1" applyProtection="1"/>
    <xf numFmtId="0" fontId="0" fillId="3" borderId="8" xfId="0" applyFill="1" applyBorder="1" applyProtection="1"/>
    <xf numFmtId="0" fontId="0" fillId="3" borderId="12" xfId="0" applyFill="1" applyBorder="1" applyProtection="1"/>
    <xf numFmtId="0" fontId="0" fillId="3" borderId="9" xfId="0" applyFill="1" applyBorder="1" applyProtection="1"/>
    <xf numFmtId="0" fontId="0" fillId="3" borderId="14" xfId="0" applyFill="1" applyBorder="1" applyProtection="1"/>
    <xf numFmtId="0" fontId="0" fillId="3" borderId="15" xfId="0" applyFill="1" applyBorder="1" applyProtection="1"/>
    <xf numFmtId="0" fontId="0" fillId="3" borderId="10" xfId="0" applyFill="1" applyBorder="1" applyProtection="1"/>
    <xf numFmtId="0" fontId="0" fillId="3" borderId="13" xfId="0" applyFill="1" applyBorder="1" applyProtection="1"/>
    <xf numFmtId="0" fontId="0" fillId="3" borderId="11" xfId="0" applyFill="1" applyBorder="1" applyProtection="1"/>
    <xf numFmtId="0" fontId="0" fillId="0" borderId="0" xfId="0"/>
    <xf numFmtId="0" fontId="0" fillId="5" borderId="0" xfId="0" applyFill="1" applyProtection="1"/>
    <xf numFmtId="0" fontId="0" fillId="0" borderId="0" xfId="0" applyFill="1" applyProtection="1"/>
    <xf numFmtId="0" fontId="0" fillId="3" borderId="0" xfId="0" applyFill="1" applyBorder="1" applyAlignment="1" applyProtection="1">
      <alignment vertical="center"/>
    </xf>
    <xf numFmtId="0" fontId="0" fillId="3" borderId="0" xfId="0" applyFill="1"/>
    <xf numFmtId="14" fontId="0" fillId="0" borderId="0" xfId="0" applyNumberFormat="1"/>
    <xf numFmtId="49" fontId="0" fillId="0" borderId="0" xfId="0" applyNumberFormat="1"/>
    <xf numFmtId="49" fontId="0" fillId="0" borderId="0" xfId="0" applyNumberFormat="1" applyAlignment="1">
      <alignment horizontal="left" wrapText="1"/>
    </xf>
    <xf numFmtId="14" fontId="0" fillId="3" borderId="0" xfId="0" applyNumberFormat="1" applyFill="1"/>
    <xf numFmtId="49" fontId="0" fillId="3" borderId="0" xfId="0" applyNumberFormat="1" applyFill="1"/>
    <xf numFmtId="49" fontId="0" fillId="3" borderId="0" xfId="0" applyNumberFormat="1" applyFill="1" applyAlignment="1">
      <alignment horizontal="left" wrapText="1"/>
    </xf>
    <xf numFmtId="0" fontId="0" fillId="6" borderId="0" xfId="0" applyFill="1" applyProtection="1"/>
    <xf numFmtId="0" fontId="9" fillId="0" borderId="0" xfId="0" applyFont="1" applyFill="1" applyBorder="1"/>
    <xf numFmtId="0" fontId="6" fillId="0" borderId="0" xfId="0" applyFont="1" applyProtection="1"/>
    <xf numFmtId="0" fontId="6" fillId="3" borderId="1" xfId="0" applyFont="1" applyFill="1" applyBorder="1"/>
    <xf numFmtId="14" fontId="0" fillId="0" borderId="1" xfId="0" applyNumberFormat="1" applyBorder="1" applyAlignment="1" applyProtection="1">
      <alignment vertical="center"/>
      <protection locked="0"/>
    </xf>
    <xf numFmtId="49" fontId="0" fillId="0" borderId="1" xfId="0" applyNumberFormat="1" applyBorder="1" applyAlignment="1" applyProtection="1">
      <alignment vertical="center"/>
      <protection locked="0"/>
    </xf>
    <xf numFmtId="49" fontId="0" fillId="0" borderId="1" xfId="0" applyNumberFormat="1" applyBorder="1" applyAlignment="1" applyProtection="1">
      <alignment horizontal="left" vertical="center" wrapText="1"/>
      <protection locked="0"/>
    </xf>
    <xf numFmtId="0" fontId="11" fillId="0" borderId="0" xfId="0" applyFont="1" applyProtection="1"/>
    <xf numFmtId="0" fontId="11" fillId="6" borderId="0" xfId="0" applyFont="1" applyFill="1" applyProtection="1"/>
    <xf numFmtId="0" fontId="0" fillId="0" borderId="0" xfId="0"/>
    <xf numFmtId="0" fontId="15" fillId="9" borderId="1" xfId="1" quotePrefix="1" applyFont="1" applyFill="1" applyBorder="1" applyAlignment="1">
      <alignment vertical="top" wrapText="1"/>
    </xf>
    <xf numFmtId="0" fontId="14" fillId="8" borderId="1" xfId="1" applyFont="1" applyFill="1" applyBorder="1" applyAlignment="1">
      <alignment vertical="top" wrapText="1"/>
    </xf>
    <xf numFmtId="0" fontId="15" fillId="7" borderId="1" xfId="1" applyFont="1" applyFill="1" applyBorder="1" applyAlignment="1">
      <alignment vertical="top" wrapText="1"/>
    </xf>
    <xf numFmtId="0" fontId="15" fillId="9" borderId="1" xfId="1" applyFont="1" applyFill="1" applyBorder="1" applyAlignment="1">
      <alignment vertical="top" wrapText="1"/>
    </xf>
    <xf numFmtId="49" fontId="0" fillId="0" borderId="1" xfId="0" applyNumberFormat="1" applyBorder="1" applyAlignment="1" applyProtection="1">
      <alignment vertical="center" wrapText="1"/>
      <protection locked="0"/>
    </xf>
    <xf numFmtId="0" fontId="0" fillId="0" borderId="0" xfId="0" applyBorder="1" applyProtection="1"/>
    <xf numFmtId="0" fontId="0" fillId="0" borderId="0" xfId="0"/>
    <xf numFmtId="0" fontId="0" fillId="0" borderId="14" xfId="0" applyBorder="1" applyProtection="1"/>
    <xf numFmtId="0" fontId="0" fillId="0" borderId="14" xfId="0" applyFill="1" applyBorder="1" applyProtection="1"/>
    <xf numFmtId="0" fontId="6" fillId="3" borderId="8" xfId="0" applyFont="1" applyFill="1" applyBorder="1" applyProtection="1"/>
    <xf numFmtId="0" fontId="6" fillId="3" borderId="12" xfId="0" applyFont="1" applyFill="1" applyBorder="1" applyProtection="1"/>
    <xf numFmtId="0" fontId="6" fillId="3" borderId="0" xfId="0" applyFont="1" applyFill="1" applyBorder="1" applyProtection="1"/>
    <xf numFmtId="0" fontId="0" fillId="0" borderId="0" xfId="0" applyBorder="1" applyProtection="1"/>
    <xf numFmtId="0" fontId="6" fillId="3" borderId="0" xfId="0" applyFont="1" applyFill="1" applyAlignment="1">
      <alignment vertical="top"/>
    </xf>
    <xf numFmtId="0" fontId="0" fillId="4" borderId="0" xfId="0" applyFill="1"/>
    <xf numFmtId="0" fontId="8" fillId="4" borderId="0" xfId="0" applyFont="1" applyFill="1" applyBorder="1" applyAlignment="1">
      <alignment vertical="top"/>
    </xf>
    <xf numFmtId="0" fontId="4" fillId="0" borderId="0" xfId="0" applyFont="1" applyFill="1" applyBorder="1" applyAlignment="1" applyProtection="1"/>
    <xf numFmtId="0" fontId="7" fillId="0" borderId="0" xfId="0" applyFont="1" applyFill="1" applyBorder="1" applyAlignment="1" applyProtection="1">
      <alignment horizontal="right" vertical="center"/>
    </xf>
    <xf numFmtId="0" fontId="25" fillId="3" borderId="0" xfId="0" applyFont="1" applyFill="1" applyBorder="1" applyProtection="1"/>
    <xf numFmtId="0" fontId="28" fillId="4" borderId="0" xfId="0" applyFont="1" applyFill="1" applyAlignment="1">
      <alignment horizontal="left" vertical="center" readingOrder="1"/>
    </xf>
    <xf numFmtId="0" fontId="28" fillId="4" borderId="0" xfId="0" applyFont="1" applyFill="1"/>
    <xf numFmtId="0" fontId="8" fillId="4" borderId="0" xfId="0" applyFont="1" applyFill="1" applyBorder="1" applyAlignment="1">
      <alignment horizontal="left" vertical="top"/>
    </xf>
    <xf numFmtId="0" fontId="0" fillId="0" borderId="0" xfId="0" applyBorder="1" applyProtection="1"/>
    <xf numFmtId="0" fontId="8" fillId="4" borderId="0" xfId="0" applyFont="1" applyFill="1" applyBorder="1" applyAlignment="1">
      <alignment horizontal="left" vertical="top"/>
    </xf>
    <xf numFmtId="0" fontId="0" fillId="4" borderId="25" xfId="0" applyFill="1" applyBorder="1"/>
    <xf numFmtId="0" fontId="0" fillId="4" borderId="26" xfId="0" applyFill="1" applyBorder="1"/>
    <xf numFmtId="0" fontId="0" fillId="4" borderId="27" xfId="0" applyFill="1" applyBorder="1"/>
    <xf numFmtId="0" fontId="0" fillId="0" borderId="28" xfId="0" applyBorder="1"/>
    <xf numFmtId="0" fontId="0" fillId="0" borderId="0" xfId="0" applyBorder="1"/>
    <xf numFmtId="0" fontId="0" fillId="0" borderId="29" xfId="0" applyBorder="1"/>
    <xf numFmtId="0" fontId="0" fillId="0" borderId="30" xfId="0" applyBorder="1"/>
    <xf numFmtId="0" fontId="0" fillId="0" borderId="31" xfId="0" applyBorder="1"/>
    <xf numFmtId="0" fontId="0" fillId="0" borderId="32" xfId="0" applyBorder="1"/>
    <xf numFmtId="0" fontId="24" fillId="4" borderId="25" xfId="0" applyFont="1" applyFill="1" applyBorder="1" applyAlignment="1">
      <alignment vertical="top"/>
    </xf>
    <xf numFmtId="0" fontId="8" fillId="4" borderId="26" xfId="0" applyFont="1" applyFill="1" applyBorder="1" applyAlignment="1">
      <alignment vertical="top"/>
    </xf>
    <xf numFmtId="0" fontId="8" fillId="4" borderId="27" xfId="0" applyFont="1" applyFill="1" applyBorder="1" applyAlignment="1">
      <alignment vertical="top"/>
    </xf>
    <xf numFmtId="0" fontId="24" fillId="4" borderId="28" xfId="0" applyFont="1" applyFill="1" applyBorder="1" applyAlignment="1">
      <alignment vertical="top"/>
    </xf>
    <xf numFmtId="0" fontId="8" fillId="4" borderId="29" xfId="0" applyFont="1" applyFill="1" applyBorder="1" applyAlignment="1">
      <alignment vertical="top"/>
    </xf>
    <xf numFmtId="0" fontId="8" fillId="4" borderId="29" xfId="0" applyFont="1" applyFill="1" applyBorder="1" applyAlignment="1">
      <alignment horizontal="left" vertical="top"/>
    </xf>
    <xf numFmtId="0" fontId="24" fillId="4" borderId="28" xfId="0" applyFont="1" applyFill="1" applyBorder="1" applyAlignment="1">
      <alignment horizontal="left" vertical="top"/>
    </xf>
    <xf numFmtId="0" fontId="13" fillId="0" borderId="0" xfId="0" applyFont="1"/>
    <xf numFmtId="0" fontId="0" fillId="3" borderId="0" xfId="0" applyFill="1" applyBorder="1" applyAlignment="1" applyProtection="1">
      <alignment horizontal="center" vertical="center"/>
    </xf>
    <xf numFmtId="0" fontId="0" fillId="0" borderId="0" xfId="0" applyBorder="1" applyProtection="1"/>
    <xf numFmtId="0" fontId="8" fillId="4" borderId="28" xfId="0" applyFont="1" applyFill="1" applyBorder="1" applyAlignment="1">
      <alignment horizontal="left" vertical="top" wrapText="1"/>
    </xf>
    <xf numFmtId="0" fontId="8" fillId="4" borderId="0" xfId="0" applyFont="1" applyFill="1" applyBorder="1" applyAlignment="1">
      <alignment horizontal="left" vertical="top" wrapText="1"/>
    </xf>
    <xf numFmtId="0" fontId="8" fillId="4" borderId="29" xfId="0" applyFont="1" applyFill="1" applyBorder="1" applyAlignment="1">
      <alignment horizontal="left" vertical="top" wrapText="1"/>
    </xf>
    <xf numFmtId="0" fontId="8" fillId="4" borderId="28" xfId="0" applyFont="1" applyFill="1" applyBorder="1" applyAlignment="1">
      <alignment horizontal="left" vertical="top"/>
    </xf>
    <xf numFmtId="0" fontId="8" fillId="4" borderId="0" xfId="0" applyFont="1" applyFill="1" applyBorder="1" applyAlignment="1">
      <alignment horizontal="left" vertical="top"/>
    </xf>
    <xf numFmtId="0" fontId="8" fillId="4" borderId="29" xfId="0" applyFont="1" applyFill="1" applyBorder="1" applyAlignment="1">
      <alignment horizontal="left" vertical="top"/>
    </xf>
    <xf numFmtId="0" fontId="8" fillId="4" borderId="30" xfId="0" applyFont="1" applyFill="1" applyBorder="1" applyAlignment="1">
      <alignment horizontal="left" vertical="top" wrapText="1"/>
    </xf>
    <xf numFmtId="0" fontId="8" fillId="4" borderId="31" xfId="0" applyFont="1" applyFill="1" applyBorder="1" applyAlignment="1">
      <alignment horizontal="left" vertical="top" wrapText="1"/>
    </xf>
    <xf numFmtId="0" fontId="8" fillId="4" borderId="32" xfId="0" applyFont="1" applyFill="1" applyBorder="1" applyAlignment="1">
      <alignment horizontal="left" vertical="top" wrapText="1"/>
    </xf>
    <xf numFmtId="0" fontId="23" fillId="10" borderId="0" xfId="0" applyFont="1" applyFill="1" applyAlignment="1">
      <alignment horizontal="center"/>
    </xf>
    <xf numFmtId="0" fontId="8" fillId="4" borderId="25" xfId="0" applyFont="1" applyFill="1" applyBorder="1" applyAlignment="1">
      <alignment horizontal="left" vertical="top" wrapText="1"/>
    </xf>
    <xf numFmtId="0" fontId="8" fillId="4" borderId="26" xfId="0" applyFont="1" applyFill="1" applyBorder="1" applyAlignment="1">
      <alignment horizontal="left" vertical="top" wrapText="1"/>
    </xf>
    <xf numFmtId="0" fontId="8" fillId="4" borderId="27" xfId="0" applyFont="1" applyFill="1" applyBorder="1" applyAlignment="1">
      <alignment horizontal="left" vertical="top" wrapText="1"/>
    </xf>
    <xf numFmtId="0" fontId="8" fillId="4" borderId="33" xfId="0" applyFont="1" applyFill="1" applyBorder="1" applyAlignment="1">
      <alignment horizontal="left" vertical="top" wrapText="1"/>
    </xf>
    <xf numFmtId="0" fontId="8" fillId="4" borderId="34" xfId="0" applyFont="1" applyFill="1" applyBorder="1" applyAlignment="1">
      <alignment horizontal="left" vertical="top" wrapText="1"/>
    </xf>
    <xf numFmtId="0" fontId="8" fillId="4" borderId="35" xfId="0" applyFont="1" applyFill="1" applyBorder="1" applyAlignment="1">
      <alignment horizontal="left" vertical="top" wrapText="1"/>
    </xf>
    <xf numFmtId="0" fontId="8" fillId="4" borderId="36" xfId="0" applyFont="1" applyFill="1" applyBorder="1" applyAlignment="1">
      <alignment horizontal="left" vertical="top" wrapText="1"/>
    </xf>
    <xf numFmtId="0" fontId="8" fillId="4" borderId="37" xfId="0" applyFont="1" applyFill="1" applyBorder="1" applyAlignment="1">
      <alignment horizontal="left" vertical="top" wrapText="1"/>
    </xf>
    <xf numFmtId="0" fontId="24" fillId="4" borderId="28" xfId="0" applyFont="1" applyFill="1" applyBorder="1" applyAlignment="1">
      <alignment horizontal="left" vertical="top"/>
    </xf>
    <xf numFmtId="0" fontId="24" fillId="4" borderId="0" xfId="0" applyFont="1" applyFill="1" applyBorder="1" applyAlignment="1">
      <alignment horizontal="left" vertical="top"/>
    </xf>
    <xf numFmtId="0" fontId="24" fillId="4" borderId="36" xfId="0" applyFont="1" applyFill="1" applyBorder="1" applyAlignment="1">
      <alignment horizontal="left" vertical="top" wrapText="1"/>
    </xf>
    <xf numFmtId="0" fontId="24" fillId="4" borderId="0" xfId="0" applyFont="1" applyFill="1" applyBorder="1" applyAlignment="1">
      <alignment horizontal="left" vertical="top" wrapText="1"/>
    </xf>
    <xf numFmtId="0" fontId="24" fillId="4" borderId="37" xfId="0" applyFont="1" applyFill="1" applyBorder="1" applyAlignment="1">
      <alignment horizontal="left" vertical="top" wrapText="1"/>
    </xf>
    <xf numFmtId="0" fontId="30" fillId="4" borderId="38" xfId="22" applyFont="1" applyFill="1" applyBorder="1" applyAlignment="1">
      <alignment horizontal="left" vertical="top"/>
    </xf>
    <xf numFmtId="0" fontId="30" fillId="4" borderId="39" xfId="22" applyFont="1" applyFill="1" applyBorder="1" applyAlignment="1">
      <alignment horizontal="left" vertical="top"/>
    </xf>
    <xf numFmtId="0" fontId="30" fillId="4" borderId="40" xfId="22" applyFont="1" applyFill="1" applyBorder="1" applyAlignment="1">
      <alignment horizontal="left" vertical="top"/>
    </xf>
    <xf numFmtId="0" fontId="0" fillId="3" borderId="0" xfId="0" applyFill="1" applyBorder="1" applyAlignment="1" applyProtection="1">
      <alignment horizontal="center"/>
    </xf>
    <xf numFmtId="0" fontId="0" fillId="4" borderId="21" xfId="0" applyFill="1" applyBorder="1" applyAlignment="1" applyProtection="1">
      <alignment horizontal="center" vertical="center"/>
      <protection locked="0"/>
    </xf>
    <xf numFmtId="0" fontId="0" fillId="4" borderId="16" xfId="0" applyFill="1" applyBorder="1" applyAlignment="1" applyProtection="1">
      <alignment horizontal="center" vertical="center"/>
      <protection locked="0"/>
    </xf>
    <xf numFmtId="0" fontId="0" fillId="4" borderId="22" xfId="0" applyFill="1" applyBorder="1" applyAlignment="1" applyProtection="1">
      <alignment horizontal="center" vertical="center"/>
      <protection locked="0"/>
    </xf>
    <xf numFmtId="49" fontId="0" fillId="4" borderId="8" xfId="0" applyNumberFormat="1" applyFill="1" applyBorder="1" applyAlignment="1" applyProtection="1">
      <alignment horizontal="left" vertical="top" wrapText="1"/>
      <protection locked="0"/>
    </xf>
    <xf numFmtId="49" fontId="0" fillId="4" borderId="12" xfId="0" applyNumberFormat="1" applyFill="1" applyBorder="1" applyAlignment="1" applyProtection="1">
      <alignment horizontal="left" vertical="top" wrapText="1"/>
      <protection locked="0"/>
    </xf>
    <xf numFmtId="49" fontId="0" fillId="4" borderId="9" xfId="0" applyNumberFormat="1" applyFill="1" applyBorder="1" applyAlignment="1" applyProtection="1">
      <alignment horizontal="left" vertical="top" wrapText="1"/>
      <protection locked="0"/>
    </xf>
    <xf numFmtId="49" fontId="0" fillId="4" borderId="14" xfId="0" applyNumberFormat="1" applyFill="1" applyBorder="1" applyAlignment="1" applyProtection="1">
      <alignment horizontal="left" vertical="top" wrapText="1"/>
      <protection locked="0"/>
    </xf>
    <xf numFmtId="49" fontId="0" fillId="4" borderId="0" xfId="0" applyNumberFormat="1" applyFill="1" applyBorder="1" applyAlignment="1" applyProtection="1">
      <alignment horizontal="left" vertical="top" wrapText="1"/>
      <protection locked="0"/>
    </xf>
    <xf numFmtId="49" fontId="0" fillId="4" borderId="15" xfId="0" applyNumberFormat="1" applyFill="1" applyBorder="1" applyAlignment="1" applyProtection="1">
      <alignment horizontal="left" vertical="top" wrapText="1"/>
      <protection locked="0"/>
    </xf>
    <xf numFmtId="49" fontId="0" fillId="4" borderId="10" xfId="0" applyNumberFormat="1" applyFill="1" applyBorder="1" applyAlignment="1" applyProtection="1">
      <alignment horizontal="left" vertical="top" wrapText="1"/>
      <protection locked="0"/>
    </xf>
    <xf numFmtId="49" fontId="0" fillId="4" borderId="13" xfId="0" applyNumberFormat="1" applyFill="1" applyBorder="1" applyAlignment="1" applyProtection="1">
      <alignment horizontal="left" vertical="top" wrapText="1"/>
      <protection locked="0"/>
    </xf>
    <xf numFmtId="49" fontId="0" fillId="4" borderId="11" xfId="0" applyNumberFormat="1" applyFill="1" applyBorder="1" applyAlignment="1" applyProtection="1">
      <alignment horizontal="left" vertical="top" wrapText="1"/>
      <protection locked="0"/>
    </xf>
    <xf numFmtId="0" fontId="0" fillId="3" borderId="0" xfId="0" applyFill="1" applyBorder="1" applyAlignment="1" applyProtection="1">
      <alignment horizontal="center" vertical="center" wrapText="1"/>
    </xf>
    <xf numFmtId="0" fontId="0" fillId="0" borderId="8" xfId="0" applyFill="1" applyBorder="1" applyAlignment="1" applyProtection="1">
      <alignment horizontal="center" vertical="center" wrapText="1"/>
      <protection locked="0"/>
    </xf>
    <xf numFmtId="0" fontId="0" fillId="0" borderId="12" xfId="0" applyFill="1" applyBorder="1" applyAlignment="1" applyProtection="1">
      <alignment horizontal="center" vertical="center" wrapText="1"/>
      <protection locked="0"/>
    </xf>
    <xf numFmtId="0" fontId="0" fillId="0" borderId="9" xfId="0" applyFill="1" applyBorder="1" applyAlignment="1" applyProtection="1">
      <alignment horizontal="center" vertical="center" wrapText="1"/>
      <protection locked="0"/>
    </xf>
    <xf numFmtId="0" fontId="0" fillId="0" borderId="10" xfId="0" applyFill="1" applyBorder="1" applyAlignment="1" applyProtection="1">
      <alignment horizontal="center" vertical="center" wrapText="1"/>
      <protection locked="0"/>
    </xf>
    <xf numFmtId="0" fontId="0" fillId="0" borderId="13" xfId="0" applyFill="1" applyBorder="1" applyAlignment="1" applyProtection="1">
      <alignment horizontal="center" vertical="center" wrapText="1"/>
      <protection locked="0"/>
    </xf>
    <xf numFmtId="0" fontId="0" fillId="0" borderId="11" xfId="0" applyFill="1" applyBorder="1" applyAlignment="1" applyProtection="1">
      <alignment horizontal="center" vertical="center" wrapText="1"/>
      <protection locked="0"/>
    </xf>
    <xf numFmtId="0" fontId="0" fillId="0" borderId="14" xfId="0" applyFill="1" applyBorder="1" applyAlignment="1" applyProtection="1">
      <alignment horizontal="center" vertical="center" wrapText="1"/>
      <protection locked="0"/>
    </xf>
    <xf numFmtId="0" fontId="0" fillId="0" borderId="0" xfId="0" applyFill="1" applyBorder="1" applyAlignment="1" applyProtection="1">
      <alignment horizontal="center" vertical="center" wrapText="1"/>
      <protection locked="0"/>
    </xf>
    <xf numFmtId="0" fontId="0" fillId="0" borderId="15" xfId="0" applyFill="1" applyBorder="1" applyAlignment="1" applyProtection="1">
      <alignment horizontal="center" vertical="center" wrapText="1"/>
      <protection locked="0"/>
    </xf>
    <xf numFmtId="0" fontId="0" fillId="3" borderId="0" xfId="0" applyFill="1" applyBorder="1" applyAlignment="1" applyProtection="1">
      <alignment horizontal="center" vertical="center"/>
    </xf>
    <xf numFmtId="0" fontId="0" fillId="3" borderId="15" xfId="0" applyFill="1" applyBorder="1" applyAlignment="1" applyProtection="1">
      <alignment horizontal="center" vertical="center"/>
    </xf>
    <xf numFmtId="0" fontId="0" fillId="0" borderId="15" xfId="0" applyBorder="1" applyProtection="1"/>
    <xf numFmtId="0" fontId="0" fillId="0" borderId="0" xfId="0" applyBorder="1" applyProtection="1"/>
    <xf numFmtId="49" fontId="0" fillId="0" borderId="8" xfId="0" applyNumberFormat="1" applyFill="1" applyBorder="1" applyAlignment="1" applyProtection="1">
      <alignment horizontal="left" vertical="top" wrapText="1"/>
      <protection locked="0"/>
    </xf>
    <xf numFmtId="49" fontId="0" fillId="0" borderId="12" xfId="0" applyNumberFormat="1" applyFill="1" applyBorder="1" applyAlignment="1" applyProtection="1">
      <alignment horizontal="left" vertical="top" wrapText="1"/>
      <protection locked="0"/>
    </xf>
    <xf numFmtId="49" fontId="0" fillId="0" borderId="9" xfId="0" applyNumberFormat="1" applyFill="1" applyBorder="1" applyAlignment="1" applyProtection="1">
      <alignment horizontal="left" vertical="top" wrapText="1"/>
      <protection locked="0"/>
    </xf>
    <xf numFmtId="49" fontId="0" fillId="0" borderId="14"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horizontal="left" vertical="top" wrapText="1"/>
      <protection locked="0"/>
    </xf>
    <xf numFmtId="49" fontId="0" fillId="0" borderId="15" xfId="0" applyNumberFormat="1" applyFill="1" applyBorder="1" applyAlignment="1" applyProtection="1">
      <alignment horizontal="left" vertical="top" wrapText="1"/>
      <protection locked="0"/>
    </xf>
    <xf numFmtId="49" fontId="0" fillId="0" borderId="10" xfId="0" applyNumberFormat="1" applyFill="1" applyBorder="1" applyAlignment="1" applyProtection="1">
      <alignment horizontal="left" vertical="top" wrapText="1"/>
      <protection locked="0"/>
    </xf>
    <xf numFmtId="49" fontId="0" fillId="0" borderId="13" xfId="0" applyNumberFormat="1" applyFill="1" applyBorder="1" applyAlignment="1" applyProtection="1">
      <alignment horizontal="left" vertical="top" wrapText="1"/>
      <protection locked="0"/>
    </xf>
    <xf numFmtId="49" fontId="0" fillId="0" borderId="11" xfId="0" applyNumberFormat="1" applyFill="1" applyBorder="1" applyAlignment="1" applyProtection="1">
      <alignment horizontal="left" vertical="top" wrapText="1"/>
      <protection locked="0"/>
    </xf>
    <xf numFmtId="49" fontId="0" fillId="0" borderId="8" xfId="0" quotePrefix="1" applyNumberFormat="1" applyFill="1" applyBorder="1" applyAlignment="1" applyProtection="1">
      <alignment horizontal="left" vertical="top" wrapText="1"/>
      <protection locked="0"/>
    </xf>
    <xf numFmtId="49" fontId="0" fillId="0" borderId="12" xfId="0" quotePrefix="1" applyNumberFormat="1" applyFill="1" applyBorder="1" applyAlignment="1" applyProtection="1">
      <alignment horizontal="left" vertical="top" wrapText="1"/>
      <protection locked="0"/>
    </xf>
    <xf numFmtId="49" fontId="0" fillId="0" borderId="9" xfId="0" quotePrefix="1" applyNumberFormat="1" applyFill="1" applyBorder="1" applyAlignment="1" applyProtection="1">
      <alignment horizontal="left" vertical="top" wrapText="1"/>
      <protection locked="0"/>
    </xf>
    <xf numFmtId="49" fontId="0" fillId="0" borderId="14" xfId="0" quotePrefix="1" applyNumberFormat="1" applyFill="1" applyBorder="1" applyAlignment="1" applyProtection="1">
      <alignment horizontal="left" vertical="top" wrapText="1"/>
      <protection locked="0"/>
    </xf>
    <xf numFmtId="49" fontId="0" fillId="0" borderId="0" xfId="0" quotePrefix="1" applyNumberFormat="1" applyFill="1" applyBorder="1" applyAlignment="1" applyProtection="1">
      <alignment horizontal="left" vertical="top" wrapText="1"/>
      <protection locked="0"/>
    </xf>
    <xf numFmtId="49" fontId="0" fillId="0" borderId="15" xfId="0" quotePrefix="1" applyNumberFormat="1" applyFill="1" applyBorder="1" applyAlignment="1" applyProtection="1">
      <alignment horizontal="left" vertical="top" wrapText="1"/>
      <protection locked="0"/>
    </xf>
    <xf numFmtId="49" fontId="0" fillId="0" borderId="10" xfId="0" quotePrefix="1" applyNumberFormat="1" applyFill="1" applyBorder="1" applyAlignment="1" applyProtection="1">
      <alignment horizontal="left" vertical="top" wrapText="1"/>
      <protection locked="0"/>
    </xf>
    <xf numFmtId="49" fontId="0" fillId="0" borderId="13" xfId="0" quotePrefix="1" applyNumberFormat="1" applyFill="1" applyBorder="1" applyAlignment="1" applyProtection="1">
      <alignment horizontal="left" vertical="top" wrapText="1"/>
      <protection locked="0"/>
    </xf>
    <xf numFmtId="49" fontId="0" fillId="0" borderId="11" xfId="0" quotePrefix="1" applyNumberFormat="1" applyFill="1" applyBorder="1" applyAlignment="1" applyProtection="1">
      <alignment horizontal="left" vertical="top" wrapText="1"/>
      <protection locked="0"/>
    </xf>
    <xf numFmtId="0" fontId="0" fillId="3" borderId="15" xfId="0" applyFill="1" applyBorder="1" applyAlignment="1" applyProtection="1">
      <alignment horizontal="center" vertical="center" wrapText="1"/>
    </xf>
    <xf numFmtId="0" fontId="0" fillId="0" borderId="21"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 borderId="12" xfId="0" applyFill="1" applyBorder="1" applyAlignment="1" applyProtection="1">
      <alignment horizontal="left" vertical="center" wrapText="1"/>
    </xf>
    <xf numFmtId="0" fontId="27" fillId="3" borderId="0" xfId="0" applyFont="1" applyFill="1" applyBorder="1" applyAlignment="1" applyProtection="1">
      <alignment horizontal="center" vertical="center" wrapText="1"/>
    </xf>
    <xf numFmtId="0" fontId="27" fillId="3" borderId="15" xfId="0" applyFont="1" applyFill="1" applyBorder="1" applyAlignment="1" applyProtection="1">
      <alignment horizontal="center" vertical="center" wrapText="1"/>
    </xf>
    <xf numFmtId="0" fontId="0" fillId="0" borderId="21" xfId="0"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0" fillId="0" borderId="22" xfId="0" applyFill="1" applyBorder="1" applyAlignment="1" applyProtection="1">
      <alignment horizontal="center" vertical="center"/>
      <protection locked="0"/>
    </xf>
    <xf numFmtId="164" fontId="0" fillId="4" borderId="21" xfId="0" applyNumberFormat="1" applyFill="1" applyBorder="1" applyAlignment="1" applyProtection="1">
      <alignment horizontal="center" vertical="center"/>
      <protection locked="0"/>
    </xf>
    <xf numFmtId="164" fontId="0" fillId="4" borderId="16" xfId="0" applyNumberFormat="1" applyFill="1" applyBorder="1" applyAlignment="1" applyProtection="1">
      <alignment horizontal="center" vertical="center"/>
      <protection locked="0"/>
    </xf>
    <xf numFmtId="164" fontId="0" fillId="4" borderId="22" xfId="0" applyNumberFormat="1" applyFill="1" applyBorder="1" applyAlignment="1" applyProtection="1">
      <alignment horizontal="center" vertical="center"/>
      <protection locked="0"/>
    </xf>
    <xf numFmtId="0" fontId="0" fillId="4" borderId="8" xfId="0" applyFill="1" applyBorder="1" applyAlignment="1" applyProtection="1">
      <alignment horizontal="center" vertical="center" wrapText="1"/>
      <protection locked="0"/>
    </xf>
    <xf numFmtId="0" fontId="0" fillId="4" borderId="12" xfId="0" applyFill="1" applyBorder="1" applyAlignment="1" applyProtection="1">
      <alignment horizontal="center" vertical="center" wrapText="1"/>
      <protection locked="0"/>
    </xf>
    <xf numFmtId="0" fontId="0" fillId="4" borderId="9" xfId="0" applyFill="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0" fillId="4" borderId="13" xfId="0" applyFill="1" applyBorder="1" applyAlignment="1" applyProtection="1">
      <alignment horizontal="center" vertical="center" wrapText="1"/>
      <protection locked="0"/>
    </xf>
    <xf numFmtId="0" fontId="0" fillId="4" borderId="11" xfId="0" applyFill="1" applyBorder="1" applyAlignment="1" applyProtection="1">
      <alignment horizontal="center" vertical="center" wrapText="1"/>
      <protection locked="0"/>
    </xf>
    <xf numFmtId="0" fontId="26" fillId="3" borderId="0" xfId="0" applyFont="1" applyFill="1" applyBorder="1" applyAlignment="1" applyProtection="1">
      <alignment horizontal="center"/>
    </xf>
    <xf numFmtId="164" fontId="0" fillId="4" borderId="8" xfId="0" applyNumberFormat="1" applyFill="1" applyBorder="1" applyAlignment="1" applyProtection="1">
      <alignment horizontal="center" vertical="center" wrapText="1"/>
      <protection locked="0"/>
    </xf>
    <xf numFmtId="164" fontId="0" fillId="4" borderId="12" xfId="0" applyNumberFormat="1" applyFill="1" applyBorder="1" applyAlignment="1" applyProtection="1">
      <alignment horizontal="center" vertical="center" wrapText="1"/>
      <protection locked="0"/>
    </xf>
    <xf numFmtId="164" fontId="0" fillId="4" borderId="9" xfId="0" applyNumberFormat="1" applyFill="1" applyBorder="1" applyAlignment="1" applyProtection="1">
      <alignment horizontal="center" vertical="center" wrapText="1"/>
      <protection locked="0"/>
    </xf>
    <xf numFmtId="164" fontId="0" fillId="4" borderId="10" xfId="0" applyNumberFormat="1" applyFill="1" applyBorder="1" applyAlignment="1" applyProtection="1">
      <alignment horizontal="center" vertical="center" wrapText="1"/>
      <protection locked="0"/>
    </xf>
    <xf numFmtId="164" fontId="0" fillId="4" borderId="13" xfId="0" applyNumberFormat="1" applyFill="1" applyBorder="1" applyAlignment="1" applyProtection="1">
      <alignment horizontal="center" vertical="center" wrapText="1"/>
      <protection locked="0"/>
    </xf>
    <xf numFmtId="164" fontId="0" fillId="4" borderId="11" xfId="0" applyNumberFormat="1" applyFill="1" applyBorder="1" applyAlignment="1" applyProtection="1">
      <alignment horizontal="center" vertical="center" wrapText="1"/>
      <protection locked="0"/>
    </xf>
    <xf numFmtId="0" fontId="0" fillId="0" borderId="21" xfId="0" applyFill="1" applyBorder="1" applyAlignment="1" applyProtection="1">
      <alignment horizontal="center" vertical="center" wrapText="1"/>
      <protection locked="0"/>
    </xf>
    <xf numFmtId="0" fontId="0" fillId="0" borderId="16" xfId="0" applyFill="1" applyBorder="1" applyAlignment="1" applyProtection="1">
      <alignment horizontal="center" vertical="center" wrapText="1"/>
      <protection locked="0"/>
    </xf>
    <xf numFmtId="0" fontId="0" fillId="0" borderId="22" xfId="0" applyFill="1" applyBorder="1" applyAlignment="1" applyProtection="1">
      <alignment horizontal="center" vertical="center" wrapText="1"/>
      <protection locked="0"/>
    </xf>
    <xf numFmtId="0" fontId="0" fillId="3" borderId="15" xfId="0" applyFill="1" applyBorder="1" applyAlignment="1" applyProtection="1">
      <alignment horizontal="center"/>
    </xf>
    <xf numFmtId="0" fontId="0" fillId="3" borderId="21" xfId="0" applyFill="1" applyBorder="1" applyAlignment="1" applyProtection="1">
      <alignment horizontal="center" wrapText="1"/>
    </xf>
    <xf numFmtId="0" fontId="0" fillId="3" borderId="16" xfId="0" applyFill="1" applyBorder="1" applyAlignment="1" applyProtection="1">
      <alignment horizontal="center" wrapText="1"/>
    </xf>
    <xf numFmtId="0" fontId="0" fillId="3" borderId="22" xfId="0" applyFill="1" applyBorder="1" applyAlignment="1" applyProtection="1">
      <alignment horizontal="center" wrapText="1"/>
    </xf>
  </cellXfs>
  <cellStyles count="23">
    <cellStyle name="Heading 1 2" xfId="3"/>
    <cellStyle name="Heading 2 2" xfId="4"/>
    <cellStyle name="Hyperlink" xfId="22" builtinId="8"/>
    <cellStyle name="Hyperlink 2" xfId="20"/>
    <cellStyle name="Normal" xfId="0" builtinId="0"/>
    <cellStyle name="Normal 2" xfId="2"/>
    <cellStyle name="Normal 2 2" xfId="7"/>
    <cellStyle name="Normal 2 3" xfId="8"/>
    <cellStyle name="Normal 2 4" xfId="13"/>
    <cellStyle name="Normal 3" xfId="5"/>
    <cellStyle name="Normal 3 2" xfId="9"/>
    <cellStyle name="Normal 3 3" xfId="11"/>
    <cellStyle name="Normal 3 4" xfId="15"/>
    <cellStyle name="Normal 4" xfId="6"/>
    <cellStyle name="Normal 4 2" xfId="17"/>
    <cellStyle name="Normal 5" xfId="10"/>
    <cellStyle name="Normal 6" xfId="12"/>
    <cellStyle name="Normal 7" xfId="14"/>
    <cellStyle name="Normal 8" xfId="21"/>
    <cellStyle name="Normal 9" xfId="1"/>
    <cellStyle name="Percent 2" xfId="16"/>
    <cellStyle name="Percent 3" xfId="18"/>
    <cellStyle name="Percent 3 2" xfId="19"/>
  </cellStyles>
  <dxfs count="3">
    <dxf>
      <fill>
        <patternFill>
          <bgColor rgb="FFFF0000"/>
        </patternFill>
      </fill>
    </dxf>
    <dxf>
      <fill>
        <patternFill>
          <bgColor rgb="FFFFC000"/>
        </patternFill>
      </fill>
    </dxf>
    <dxf>
      <fill>
        <patternFill>
          <bgColor rgb="FF92D050"/>
        </patternFill>
      </fill>
    </dxf>
  </dxfs>
  <tableStyles count="0" defaultTableStyle="TableStyleMedium9" defaultPivotStyle="PivotStyleLight16"/>
  <colors>
    <mruColors>
      <color rgb="FF00FF00"/>
      <color rgb="FFFFCC66"/>
      <color rgb="FFFF66FF"/>
      <color rgb="FF00FFFF"/>
      <color rgb="FFCCECFF"/>
      <color rgb="FF7CA9E0"/>
      <color rgb="FF6499D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47625</xdr:colOff>
      <xdr:row>1</xdr:row>
      <xdr:rowOff>161925</xdr:rowOff>
    </xdr:from>
    <xdr:to>
      <xdr:col>0</xdr:col>
      <xdr:colOff>358140</xdr:colOff>
      <xdr:row>3</xdr:row>
      <xdr:rowOff>38100</xdr:rowOff>
    </xdr:to>
    <xdr:sp macro="" textlink="">
      <xdr:nvSpPr>
        <xdr:cNvPr id="2" name="Oval 1"/>
        <xdr:cNvSpPr/>
      </xdr:nvSpPr>
      <xdr:spPr>
        <a:xfrm>
          <a:off x="47625" y="428625"/>
          <a:ext cx="310515" cy="3048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1</a:t>
          </a:r>
        </a:p>
      </xdr:txBody>
    </xdr:sp>
    <xdr:clientData/>
  </xdr:twoCellAnchor>
  <xdr:twoCellAnchor>
    <xdr:from>
      <xdr:col>0</xdr:col>
      <xdr:colOff>47625</xdr:colOff>
      <xdr:row>6</xdr:row>
      <xdr:rowOff>0</xdr:rowOff>
    </xdr:from>
    <xdr:to>
      <xdr:col>0</xdr:col>
      <xdr:colOff>358140</xdr:colOff>
      <xdr:row>7</xdr:row>
      <xdr:rowOff>66675</xdr:rowOff>
    </xdr:to>
    <xdr:sp macro="" textlink="">
      <xdr:nvSpPr>
        <xdr:cNvPr id="3" name="Oval 2"/>
        <xdr:cNvSpPr/>
      </xdr:nvSpPr>
      <xdr:spPr>
        <a:xfrm>
          <a:off x="47625" y="1819275"/>
          <a:ext cx="310515" cy="3048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2</a:t>
          </a:r>
        </a:p>
      </xdr:txBody>
    </xdr:sp>
    <xdr:clientData/>
  </xdr:twoCellAnchor>
  <xdr:twoCellAnchor>
    <xdr:from>
      <xdr:col>0</xdr:col>
      <xdr:colOff>47625</xdr:colOff>
      <xdr:row>12</xdr:row>
      <xdr:rowOff>0</xdr:rowOff>
    </xdr:from>
    <xdr:to>
      <xdr:col>0</xdr:col>
      <xdr:colOff>358140</xdr:colOff>
      <xdr:row>13</xdr:row>
      <xdr:rowOff>66675</xdr:rowOff>
    </xdr:to>
    <xdr:sp macro="" textlink="">
      <xdr:nvSpPr>
        <xdr:cNvPr id="4" name="Oval 3"/>
        <xdr:cNvSpPr/>
      </xdr:nvSpPr>
      <xdr:spPr>
        <a:xfrm>
          <a:off x="47625" y="2571750"/>
          <a:ext cx="310515" cy="3048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3</a:t>
          </a:r>
        </a:p>
      </xdr:txBody>
    </xdr:sp>
    <xdr:clientData/>
  </xdr:twoCellAnchor>
  <xdr:twoCellAnchor>
    <xdr:from>
      <xdr:col>0</xdr:col>
      <xdr:colOff>47625</xdr:colOff>
      <xdr:row>58</xdr:row>
      <xdr:rowOff>66675</xdr:rowOff>
    </xdr:from>
    <xdr:to>
      <xdr:col>0</xdr:col>
      <xdr:colOff>358140</xdr:colOff>
      <xdr:row>59</xdr:row>
      <xdr:rowOff>95250</xdr:rowOff>
    </xdr:to>
    <xdr:sp macro="" textlink="">
      <xdr:nvSpPr>
        <xdr:cNvPr id="5" name="Oval 4"/>
        <xdr:cNvSpPr/>
      </xdr:nvSpPr>
      <xdr:spPr>
        <a:xfrm>
          <a:off x="47625" y="12363450"/>
          <a:ext cx="310515" cy="2667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4</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2386</xdr:colOff>
      <xdr:row>0</xdr:row>
      <xdr:rowOff>47626</xdr:rowOff>
    </xdr:from>
    <xdr:to>
      <xdr:col>6</xdr:col>
      <xdr:colOff>601297</xdr:colOff>
      <xdr:row>3</xdr:row>
      <xdr:rowOff>5476</xdr:rowOff>
    </xdr:to>
    <xdr:pic>
      <xdr:nvPicPr>
        <xdr:cNvPr id="2" name="Picture 1" descr="Nestle Logo.png"/>
        <xdr:cNvPicPr>
          <a:picLocks noChangeAspect="1"/>
        </xdr:cNvPicPr>
      </xdr:nvPicPr>
      <xdr:blipFill>
        <a:blip xmlns:r="http://schemas.openxmlformats.org/officeDocument/2006/relationships" r:embed="rId1" cstate="print"/>
        <a:stretch>
          <a:fillRect/>
        </a:stretch>
      </xdr:blipFill>
      <xdr:spPr>
        <a:xfrm>
          <a:off x="2386" y="47626"/>
          <a:ext cx="3513561" cy="396000"/>
        </a:xfrm>
        <a:prstGeom prst="rect">
          <a:avLst/>
        </a:prstGeom>
      </xdr:spPr>
    </xdr:pic>
    <xdr:clientData/>
  </xdr:twoCellAnchor>
  <xdr:twoCellAnchor editAs="oneCell">
    <xdr:from>
      <xdr:col>14</xdr:col>
      <xdr:colOff>114300</xdr:colOff>
      <xdr:row>0</xdr:row>
      <xdr:rowOff>133350</xdr:rowOff>
    </xdr:from>
    <xdr:to>
      <xdr:col>18</xdr:col>
      <xdr:colOff>0</xdr:colOff>
      <xdr:row>4</xdr:row>
      <xdr:rowOff>20338</xdr:rowOff>
    </xdr:to>
    <xdr:pic>
      <xdr:nvPicPr>
        <xdr:cNvPr id="4" name="ctl00_onetidHeadbnnr2" descr="NBE Program Management Office"/>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05750" y="133350"/>
          <a:ext cx="1238250" cy="391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ecm.ctr.nestle.com/globelib/drl/objectId/0b00f3d381cb9c2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showGridLines="0" showRowColHeaders="0" tabSelected="1" workbookViewId="0">
      <selection activeCell="B4" sqref="B4:K6"/>
    </sheetView>
  </sheetViews>
  <sheetFormatPr defaultRowHeight="15"/>
  <cols>
    <col min="1" max="1" width="5.85546875" style="62" customWidth="1"/>
    <col min="11" max="11" width="16" customWidth="1"/>
  </cols>
  <sheetData>
    <row r="1" spans="1:11" ht="21">
      <c r="B1" s="108" t="s">
        <v>331</v>
      </c>
      <c r="C1" s="108"/>
      <c r="D1" s="108"/>
      <c r="E1" s="108"/>
      <c r="F1" s="108"/>
      <c r="G1" s="108"/>
      <c r="H1" s="108"/>
      <c r="I1" s="108"/>
      <c r="J1" s="108"/>
      <c r="K1" s="108"/>
    </row>
    <row r="2" spans="1:11">
      <c r="A2" s="70"/>
      <c r="B2" s="70"/>
      <c r="C2" s="70"/>
      <c r="D2" s="70"/>
      <c r="E2" s="70"/>
      <c r="F2" s="70"/>
      <c r="G2" s="70"/>
      <c r="H2" s="70"/>
      <c r="I2" s="70"/>
      <c r="J2" s="70"/>
      <c r="K2" s="70"/>
    </row>
    <row r="3" spans="1:11" ht="18.75">
      <c r="A3" s="70"/>
      <c r="B3" s="76" t="s">
        <v>332</v>
      </c>
      <c r="C3" s="70"/>
      <c r="D3" s="70"/>
      <c r="E3" s="70"/>
      <c r="F3" s="70"/>
      <c r="G3" s="70"/>
      <c r="H3" s="70"/>
      <c r="I3" s="70"/>
      <c r="J3" s="70"/>
      <c r="K3" s="70"/>
    </row>
    <row r="4" spans="1:11">
      <c r="A4" s="70"/>
      <c r="B4" s="109" t="s">
        <v>392</v>
      </c>
      <c r="C4" s="110"/>
      <c r="D4" s="110"/>
      <c r="E4" s="110"/>
      <c r="F4" s="110"/>
      <c r="G4" s="110"/>
      <c r="H4" s="110"/>
      <c r="I4" s="110"/>
      <c r="J4" s="110"/>
      <c r="K4" s="111"/>
    </row>
    <row r="5" spans="1:11">
      <c r="A5" s="70"/>
      <c r="B5" s="99"/>
      <c r="C5" s="100"/>
      <c r="D5" s="100"/>
      <c r="E5" s="100"/>
      <c r="F5" s="100"/>
      <c r="G5" s="100"/>
      <c r="H5" s="100"/>
      <c r="I5" s="100"/>
      <c r="J5" s="100"/>
      <c r="K5" s="101"/>
    </row>
    <row r="6" spans="1:11" ht="58.5" customHeight="1">
      <c r="A6" s="70"/>
      <c r="B6" s="105"/>
      <c r="C6" s="106"/>
      <c r="D6" s="106"/>
      <c r="E6" s="106"/>
      <c r="F6" s="106"/>
      <c r="G6" s="106"/>
      <c r="H6" s="106"/>
      <c r="I6" s="106"/>
      <c r="J6" s="106"/>
      <c r="K6" s="107"/>
    </row>
    <row r="7" spans="1:11" ht="18.75">
      <c r="A7" s="70"/>
      <c r="B7" s="75" t="s">
        <v>333</v>
      </c>
      <c r="C7" s="70"/>
      <c r="D7" s="70"/>
      <c r="E7" s="70"/>
      <c r="F7" s="70"/>
      <c r="G7" s="70"/>
      <c r="H7" s="70"/>
      <c r="I7" s="70"/>
      <c r="J7" s="70"/>
      <c r="K7" s="70"/>
    </row>
    <row r="8" spans="1:11" ht="15" customHeight="1">
      <c r="A8" s="70"/>
      <c r="B8" s="112" t="s">
        <v>455</v>
      </c>
      <c r="C8" s="113"/>
      <c r="D8" s="113"/>
      <c r="E8" s="113"/>
      <c r="F8" s="113"/>
      <c r="G8" s="113"/>
      <c r="H8" s="113"/>
      <c r="I8" s="113"/>
      <c r="J8" s="113"/>
      <c r="K8" s="114"/>
    </row>
    <row r="9" spans="1:11">
      <c r="A9" s="70"/>
      <c r="B9" s="115"/>
      <c r="C9" s="100"/>
      <c r="D9" s="100"/>
      <c r="E9" s="100"/>
      <c r="F9" s="100"/>
      <c r="G9" s="100"/>
      <c r="H9" s="100"/>
      <c r="I9" s="100"/>
      <c r="J9" s="100"/>
      <c r="K9" s="116"/>
    </row>
    <row r="10" spans="1:11" ht="10.5" customHeight="1">
      <c r="A10" s="70"/>
      <c r="B10" s="115"/>
      <c r="C10" s="100"/>
      <c r="D10" s="100"/>
      <c r="E10" s="100"/>
      <c r="F10" s="100"/>
      <c r="G10" s="100"/>
      <c r="H10" s="100"/>
      <c r="I10" s="100"/>
      <c r="J10" s="100"/>
      <c r="K10" s="116"/>
    </row>
    <row r="11" spans="1:11" s="62" customFormat="1" ht="15" customHeight="1">
      <c r="A11" s="70"/>
      <c r="B11" s="119" t="s">
        <v>456</v>
      </c>
      <c r="C11" s="120"/>
      <c r="D11" s="120"/>
      <c r="E11" s="120"/>
      <c r="F11" s="120"/>
      <c r="G11" s="120"/>
      <c r="H11" s="120"/>
      <c r="I11" s="120"/>
      <c r="J11" s="120"/>
      <c r="K11" s="121"/>
    </row>
    <row r="12" spans="1:11" s="62" customFormat="1" ht="15" customHeight="1">
      <c r="A12" s="70"/>
      <c r="B12" s="122" t="s">
        <v>454</v>
      </c>
      <c r="C12" s="123"/>
      <c r="D12" s="123"/>
      <c r="E12" s="123"/>
      <c r="F12" s="123"/>
      <c r="G12" s="123"/>
      <c r="H12" s="123"/>
      <c r="I12" s="123"/>
      <c r="J12" s="123"/>
      <c r="K12" s="124"/>
    </row>
    <row r="13" spans="1:11" ht="18.75">
      <c r="A13" s="70"/>
      <c r="B13" s="75" t="s">
        <v>327</v>
      </c>
      <c r="C13" s="70"/>
      <c r="D13" s="70"/>
      <c r="E13" s="70"/>
      <c r="F13" s="70"/>
      <c r="G13" s="70"/>
      <c r="H13" s="70"/>
      <c r="I13" s="70"/>
      <c r="J13" s="70"/>
      <c r="K13" s="70"/>
    </row>
    <row r="14" spans="1:11">
      <c r="A14" s="70"/>
      <c r="B14" s="89" t="s">
        <v>335</v>
      </c>
      <c r="C14" s="90"/>
      <c r="D14" s="90"/>
      <c r="E14" s="90"/>
      <c r="F14" s="90"/>
      <c r="G14" s="90"/>
      <c r="H14" s="90"/>
      <c r="I14" s="90"/>
      <c r="J14" s="90"/>
      <c r="K14" s="91"/>
    </row>
    <row r="15" spans="1:11" s="62" customFormat="1">
      <c r="A15" s="70"/>
      <c r="B15" s="102" t="s">
        <v>334</v>
      </c>
      <c r="C15" s="103"/>
      <c r="D15" s="103"/>
      <c r="E15" s="103"/>
      <c r="F15" s="103"/>
      <c r="G15" s="103"/>
      <c r="H15" s="103"/>
      <c r="I15" s="103"/>
      <c r="J15" s="103"/>
      <c r="K15" s="104"/>
    </row>
    <row r="16" spans="1:11">
      <c r="A16" s="70"/>
      <c r="B16" s="92" t="s">
        <v>336</v>
      </c>
      <c r="C16" s="71"/>
      <c r="D16" s="71"/>
      <c r="E16" s="71"/>
      <c r="F16" s="71"/>
      <c r="G16" s="71"/>
      <c r="H16" s="71"/>
      <c r="I16" s="71"/>
      <c r="J16" s="71"/>
      <c r="K16" s="93"/>
    </row>
    <row r="17" spans="1:11" s="62" customFormat="1" ht="27" customHeight="1">
      <c r="A17" s="70"/>
      <c r="B17" s="99" t="s">
        <v>351</v>
      </c>
      <c r="C17" s="100"/>
      <c r="D17" s="100"/>
      <c r="E17" s="100"/>
      <c r="F17" s="100"/>
      <c r="G17" s="100"/>
      <c r="H17" s="100"/>
      <c r="I17" s="100"/>
      <c r="J17" s="100"/>
      <c r="K17" s="101"/>
    </row>
    <row r="18" spans="1:11">
      <c r="A18" s="70"/>
      <c r="B18" s="92" t="s">
        <v>337</v>
      </c>
      <c r="C18" s="71"/>
      <c r="D18" s="71"/>
      <c r="E18" s="71"/>
      <c r="F18" s="71"/>
      <c r="G18" s="71"/>
      <c r="H18" s="71"/>
      <c r="I18" s="71"/>
      <c r="J18" s="71"/>
      <c r="K18" s="93"/>
    </row>
    <row r="19" spans="1:11" s="62" customFormat="1" ht="28.5" customHeight="1">
      <c r="A19" s="70"/>
      <c r="B19" s="99" t="s">
        <v>352</v>
      </c>
      <c r="C19" s="100"/>
      <c r="D19" s="100"/>
      <c r="E19" s="100"/>
      <c r="F19" s="100"/>
      <c r="G19" s="100"/>
      <c r="H19" s="100"/>
      <c r="I19" s="100"/>
      <c r="J19" s="100"/>
      <c r="K19" s="101"/>
    </row>
    <row r="20" spans="1:11">
      <c r="A20" s="70"/>
      <c r="B20" s="92" t="s">
        <v>338</v>
      </c>
      <c r="C20" s="71"/>
      <c r="D20" s="71"/>
      <c r="E20" s="71"/>
      <c r="F20" s="71"/>
      <c r="G20" s="71"/>
      <c r="H20" s="71"/>
      <c r="I20" s="71"/>
      <c r="J20" s="71"/>
      <c r="K20" s="93"/>
    </row>
    <row r="21" spans="1:11" s="62" customFormat="1" ht="27" customHeight="1">
      <c r="A21" s="70"/>
      <c r="B21" s="99" t="s">
        <v>353</v>
      </c>
      <c r="C21" s="100"/>
      <c r="D21" s="100"/>
      <c r="E21" s="100"/>
      <c r="F21" s="100"/>
      <c r="G21" s="100"/>
      <c r="H21" s="100"/>
      <c r="I21" s="100"/>
      <c r="J21" s="100"/>
      <c r="K21" s="101"/>
    </row>
    <row r="22" spans="1:11">
      <c r="A22" s="70"/>
      <c r="B22" s="117" t="s">
        <v>368</v>
      </c>
      <c r="C22" s="118"/>
      <c r="D22" s="118"/>
      <c r="E22" s="118"/>
      <c r="F22" s="71"/>
      <c r="G22" s="71"/>
      <c r="H22" s="71"/>
      <c r="I22" s="71"/>
      <c r="J22" s="71"/>
      <c r="K22" s="93"/>
    </row>
    <row r="23" spans="1:11" s="62" customFormat="1">
      <c r="A23" s="70"/>
      <c r="B23" s="102" t="s">
        <v>354</v>
      </c>
      <c r="C23" s="103"/>
      <c r="D23" s="103"/>
      <c r="E23" s="103"/>
      <c r="F23" s="103"/>
      <c r="G23" s="103"/>
      <c r="H23" s="103"/>
      <c r="I23" s="103"/>
      <c r="J23" s="103"/>
      <c r="K23" s="104"/>
    </row>
    <row r="24" spans="1:11">
      <c r="A24" s="70"/>
      <c r="B24" s="92" t="s">
        <v>339</v>
      </c>
      <c r="C24" s="71"/>
      <c r="D24" s="71"/>
      <c r="E24" s="71"/>
      <c r="F24" s="71"/>
      <c r="G24" s="71"/>
      <c r="H24" s="71"/>
      <c r="I24" s="71"/>
      <c r="J24" s="71"/>
      <c r="K24" s="93"/>
    </row>
    <row r="25" spans="1:11" s="62" customFormat="1" ht="30" customHeight="1">
      <c r="A25" s="70"/>
      <c r="B25" s="99" t="s">
        <v>355</v>
      </c>
      <c r="C25" s="103"/>
      <c r="D25" s="103"/>
      <c r="E25" s="103"/>
      <c r="F25" s="103"/>
      <c r="G25" s="103"/>
      <c r="H25" s="103"/>
      <c r="I25" s="103"/>
      <c r="J25" s="103"/>
      <c r="K25" s="104"/>
    </row>
    <row r="26" spans="1:11" s="62" customFormat="1">
      <c r="B26" s="92" t="s">
        <v>371</v>
      </c>
      <c r="C26" s="71"/>
      <c r="D26" s="71"/>
      <c r="E26" s="71"/>
      <c r="F26" s="71"/>
      <c r="G26" s="71"/>
      <c r="H26" s="71"/>
      <c r="I26" s="71"/>
      <c r="J26" s="71"/>
      <c r="K26" s="93"/>
    </row>
    <row r="27" spans="1:11" s="62" customFormat="1" ht="16.5" customHeight="1">
      <c r="A27" s="70"/>
      <c r="B27" s="99" t="s">
        <v>372</v>
      </c>
      <c r="C27" s="100"/>
      <c r="D27" s="100"/>
      <c r="E27" s="100"/>
      <c r="F27" s="100"/>
      <c r="G27" s="100"/>
      <c r="H27" s="100"/>
      <c r="I27" s="100"/>
      <c r="J27" s="100"/>
      <c r="K27" s="101"/>
    </row>
    <row r="28" spans="1:11">
      <c r="B28" s="92" t="s">
        <v>340</v>
      </c>
      <c r="C28" s="71"/>
      <c r="D28" s="71"/>
      <c r="E28" s="71"/>
      <c r="F28" s="71"/>
      <c r="G28" s="71"/>
      <c r="H28" s="71"/>
      <c r="I28" s="71"/>
      <c r="J28" s="71"/>
      <c r="K28" s="93"/>
    </row>
    <row r="29" spans="1:11" s="62" customFormat="1" ht="17.25" customHeight="1">
      <c r="A29" s="70"/>
      <c r="B29" s="99" t="s">
        <v>356</v>
      </c>
      <c r="C29" s="103"/>
      <c r="D29" s="103"/>
      <c r="E29" s="103"/>
      <c r="F29" s="103"/>
      <c r="G29" s="103"/>
      <c r="H29" s="103"/>
      <c r="I29" s="103"/>
      <c r="J29" s="103"/>
      <c r="K29" s="104"/>
    </row>
    <row r="30" spans="1:11">
      <c r="B30" s="92" t="s">
        <v>341</v>
      </c>
      <c r="C30" s="71"/>
      <c r="D30" s="71"/>
      <c r="E30" s="71"/>
      <c r="F30" s="71"/>
      <c r="G30" s="71"/>
      <c r="H30" s="71"/>
      <c r="I30" s="71"/>
      <c r="J30" s="71"/>
      <c r="K30" s="93"/>
    </row>
    <row r="31" spans="1:11" s="62" customFormat="1">
      <c r="A31" s="70"/>
      <c r="B31" s="102" t="s">
        <v>357</v>
      </c>
      <c r="C31" s="103"/>
      <c r="D31" s="103"/>
      <c r="E31" s="103"/>
      <c r="F31" s="103"/>
      <c r="G31" s="103"/>
      <c r="H31" s="103"/>
      <c r="I31" s="103"/>
      <c r="J31" s="103"/>
      <c r="K31" s="104"/>
    </row>
    <row r="32" spans="1:11">
      <c r="B32" s="92" t="s">
        <v>342</v>
      </c>
      <c r="C32" s="71"/>
      <c r="D32" s="71"/>
      <c r="E32" s="71"/>
      <c r="F32" s="71"/>
      <c r="G32" s="71"/>
      <c r="H32" s="71"/>
      <c r="I32" s="71"/>
      <c r="J32" s="71"/>
      <c r="K32" s="93"/>
    </row>
    <row r="33" spans="1:11" s="62" customFormat="1">
      <c r="A33" s="70"/>
      <c r="B33" s="102" t="s">
        <v>358</v>
      </c>
      <c r="C33" s="103"/>
      <c r="D33" s="103"/>
      <c r="E33" s="103"/>
      <c r="F33" s="103"/>
      <c r="G33" s="103"/>
      <c r="H33" s="103"/>
      <c r="I33" s="103"/>
      <c r="J33" s="103"/>
      <c r="K33" s="104"/>
    </row>
    <row r="34" spans="1:11">
      <c r="B34" s="92" t="s">
        <v>343</v>
      </c>
      <c r="C34" s="71"/>
      <c r="D34" s="71"/>
      <c r="E34" s="71"/>
      <c r="F34" s="71"/>
      <c r="G34" s="71"/>
      <c r="H34" s="71"/>
      <c r="I34" s="71"/>
      <c r="J34" s="71"/>
      <c r="K34" s="93"/>
    </row>
    <row r="35" spans="1:11" s="62" customFormat="1" ht="37.5" customHeight="1">
      <c r="A35" s="70"/>
      <c r="B35" s="99" t="s">
        <v>391</v>
      </c>
      <c r="C35" s="103"/>
      <c r="D35" s="103"/>
      <c r="E35" s="103"/>
      <c r="F35" s="103"/>
      <c r="G35" s="103"/>
      <c r="H35" s="103"/>
      <c r="I35" s="103"/>
      <c r="J35" s="103"/>
      <c r="K35" s="104"/>
    </row>
    <row r="36" spans="1:11">
      <c r="B36" s="92" t="s">
        <v>345</v>
      </c>
      <c r="C36" s="71"/>
      <c r="D36" s="71"/>
      <c r="E36" s="71"/>
      <c r="F36" s="71"/>
      <c r="G36" s="71"/>
      <c r="H36" s="71"/>
      <c r="I36" s="71"/>
      <c r="J36" s="71"/>
      <c r="K36" s="93"/>
    </row>
    <row r="37" spans="1:11" s="62" customFormat="1">
      <c r="A37" s="70"/>
      <c r="B37" s="102" t="s">
        <v>359</v>
      </c>
      <c r="C37" s="103"/>
      <c r="D37" s="103"/>
      <c r="E37" s="103"/>
      <c r="F37" s="103"/>
      <c r="G37" s="103"/>
      <c r="H37" s="103"/>
      <c r="I37" s="103"/>
      <c r="J37" s="103"/>
      <c r="K37" s="104"/>
    </row>
    <row r="38" spans="1:11">
      <c r="B38" s="92" t="s">
        <v>344</v>
      </c>
      <c r="C38" s="71"/>
      <c r="D38" s="71"/>
      <c r="E38" s="71"/>
      <c r="F38" s="71"/>
      <c r="G38" s="71"/>
      <c r="H38" s="71"/>
      <c r="I38" s="71"/>
      <c r="J38" s="71"/>
      <c r="K38" s="93"/>
    </row>
    <row r="39" spans="1:11" s="62" customFormat="1">
      <c r="A39" s="70"/>
      <c r="B39" s="102" t="s">
        <v>393</v>
      </c>
      <c r="C39" s="103"/>
      <c r="D39" s="103"/>
      <c r="E39" s="103"/>
      <c r="F39" s="103"/>
      <c r="G39" s="103"/>
      <c r="H39" s="103"/>
      <c r="I39" s="103"/>
      <c r="J39" s="103"/>
      <c r="K39" s="104"/>
    </row>
    <row r="40" spans="1:11">
      <c r="B40" s="92" t="s">
        <v>346</v>
      </c>
      <c r="C40" s="71"/>
      <c r="D40" s="71"/>
      <c r="E40" s="71"/>
      <c r="F40" s="71"/>
      <c r="G40" s="71"/>
      <c r="H40" s="71"/>
      <c r="I40" s="71"/>
      <c r="J40" s="71"/>
      <c r="K40" s="93"/>
    </row>
    <row r="41" spans="1:11" s="62" customFormat="1">
      <c r="A41" s="70"/>
      <c r="B41" s="102" t="s">
        <v>394</v>
      </c>
      <c r="C41" s="103"/>
      <c r="D41" s="103"/>
      <c r="E41" s="103"/>
      <c r="F41" s="103"/>
      <c r="G41" s="103"/>
      <c r="H41" s="103"/>
      <c r="I41" s="103"/>
      <c r="J41" s="103"/>
      <c r="K41" s="104"/>
    </row>
    <row r="42" spans="1:11" s="62" customFormat="1">
      <c r="B42" s="92" t="s">
        <v>370</v>
      </c>
      <c r="C42" s="71"/>
      <c r="D42" s="71"/>
      <c r="E42" s="71"/>
      <c r="F42" s="71"/>
      <c r="G42" s="71"/>
      <c r="H42" s="71"/>
      <c r="I42" s="71"/>
      <c r="J42" s="71"/>
      <c r="K42" s="93"/>
    </row>
    <row r="43" spans="1:11" s="62" customFormat="1">
      <c r="A43" s="70"/>
      <c r="B43" s="102" t="s">
        <v>395</v>
      </c>
      <c r="C43" s="103"/>
      <c r="D43" s="103"/>
      <c r="E43" s="103"/>
      <c r="F43" s="103"/>
      <c r="G43" s="103"/>
      <c r="H43" s="103"/>
      <c r="I43" s="103"/>
      <c r="J43" s="103"/>
      <c r="K43" s="104"/>
    </row>
    <row r="44" spans="1:11">
      <c r="B44" s="92" t="s">
        <v>347</v>
      </c>
      <c r="C44" s="71"/>
      <c r="D44" s="71"/>
      <c r="E44" s="71"/>
      <c r="F44" s="71"/>
      <c r="G44" s="71"/>
      <c r="H44" s="71"/>
      <c r="I44" s="71"/>
      <c r="J44" s="71"/>
      <c r="K44" s="93"/>
    </row>
    <row r="45" spans="1:11" s="62" customFormat="1">
      <c r="A45" s="70"/>
      <c r="B45" s="102" t="s">
        <v>360</v>
      </c>
      <c r="C45" s="103"/>
      <c r="D45" s="103"/>
      <c r="E45" s="103"/>
      <c r="F45" s="103"/>
      <c r="G45" s="103"/>
      <c r="H45" s="103"/>
      <c r="I45" s="103"/>
      <c r="J45" s="103"/>
      <c r="K45" s="104"/>
    </row>
    <row r="46" spans="1:11">
      <c r="B46" s="92" t="s">
        <v>348</v>
      </c>
      <c r="C46" s="71"/>
      <c r="D46" s="71"/>
      <c r="E46" s="71"/>
      <c r="F46" s="71"/>
      <c r="G46" s="71"/>
      <c r="H46" s="71"/>
      <c r="I46" s="71"/>
      <c r="J46" s="71"/>
      <c r="K46" s="93"/>
    </row>
    <row r="47" spans="1:11" s="62" customFormat="1" ht="26.25" customHeight="1">
      <c r="A47" s="70"/>
      <c r="B47" s="99" t="s">
        <v>361</v>
      </c>
      <c r="C47" s="100"/>
      <c r="D47" s="100"/>
      <c r="E47" s="100"/>
      <c r="F47" s="100"/>
      <c r="G47" s="100"/>
      <c r="H47" s="100"/>
      <c r="I47" s="100"/>
      <c r="J47" s="100"/>
      <c r="K47" s="101"/>
    </row>
    <row r="48" spans="1:11">
      <c r="B48" s="92" t="s">
        <v>349</v>
      </c>
      <c r="C48" s="71"/>
      <c r="D48" s="71"/>
      <c r="E48" s="71"/>
      <c r="F48" s="71"/>
      <c r="G48" s="71"/>
      <c r="H48" s="71"/>
      <c r="I48" s="71"/>
      <c r="J48" s="71"/>
      <c r="K48" s="93"/>
    </row>
    <row r="49" spans="1:11" s="62" customFormat="1">
      <c r="A49" s="70"/>
      <c r="B49" s="102" t="s">
        <v>362</v>
      </c>
      <c r="C49" s="103"/>
      <c r="D49" s="103"/>
      <c r="E49" s="103"/>
      <c r="F49" s="103"/>
      <c r="G49" s="103"/>
      <c r="H49" s="103"/>
      <c r="I49" s="103"/>
      <c r="J49" s="103"/>
      <c r="K49" s="104"/>
    </row>
    <row r="50" spans="1:11">
      <c r="B50" s="95" t="s">
        <v>350</v>
      </c>
      <c r="C50" s="77"/>
      <c r="D50" s="77"/>
      <c r="E50" s="77"/>
      <c r="F50" s="77"/>
      <c r="G50" s="77"/>
      <c r="H50" s="77"/>
      <c r="I50" s="77"/>
      <c r="J50" s="77"/>
      <c r="K50" s="94"/>
    </row>
    <row r="51" spans="1:11" s="62" customFormat="1" ht="27" customHeight="1">
      <c r="A51" s="70"/>
      <c r="B51" s="99" t="s">
        <v>363</v>
      </c>
      <c r="C51" s="100"/>
      <c r="D51" s="100"/>
      <c r="E51" s="100"/>
      <c r="F51" s="100"/>
      <c r="G51" s="100"/>
      <c r="H51" s="100"/>
      <c r="I51" s="100"/>
      <c r="J51" s="100"/>
      <c r="K51" s="101"/>
    </row>
    <row r="52" spans="1:11" s="62" customFormat="1">
      <c r="B52" s="95" t="s">
        <v>450</v>
      </c>
      <c r="C52" s="79"/>
      <c r="D52" s="79"/>
      <c r="E52" s="79"/>
      <c r="F52" s="79"/>
      <c r="G52" s="79"/>
      <c r="H52" s="79"/>
      <c r="I52" s="79"/>
      <c r="J52" s="79"/>
      <c r="K52" s="94"/>
    </row>
    <row r="53" spans="1:11" s="62" customFormat="1" ht="18.75" customHeight="1">
      <c r="A53" s="70"/>
      <c r="B53" s="99" t="s">
        <v>451</v>
      </c>
      <c r="C53" s="100"/>
      <c r="D53" s="100"/>
      <c r="E53" s="100"/>
      <c r="F53" s="100"/>
      <c r="G53" s="100"/>
      <c r="H53" s="100"/>
      <c r="I53" s="100"/>
      <c r="J53" s="100"/>
      <c r="K53" s="101"/>
    </row>
    <row r="54" spans="1:11" s="62" customFormat="1">
      <c r="B54" s="95" t="s">
        <v>452</v>
      </c>
      <c r="C54" s="79"/>
      <c r="D54" s="79"/>
      <c r="E54" s="79"/>
      <c r="F54" s="79"/>
      <c r="G54" s="79"/>
      <c r="H54" s="79"/>
      <c r="I54" s="79"/>
      <c r="J54" s="79"/>
      <c r="K54" s="94"/>
    </row>
    <row r="55" spans="1:11" s="62" customFormat="1" ht="18.75" customHeight="1">
      <c r="A55" s="70"/>
      <c r="B55" s="99" t="s">
        <v>453</v>
      </c>
      <c r="C55" s="100"/>
      <c r="D55" s="100"/>
      <c r="E55" s="100"/>
      <c r="F55" s="100"/>
      <c r="G55" s="100"/>
      <c r="H55" s="100"/>
      <c r="I55" s="100"/>
      <c r="J55" s="100"/>
      <c r="K55" s="101"/>
    </row>
    <row r="56" spans="1:11">
      <c r="A56" s="70"/>
      <c r="B56" s="92" t="s">
        <v>401</v>
      </c>
      <c r="C56" s="71"/>
      <c r="D56" s="71"/>
      <c r="E56" s="71"/>
      <c r="F56" s="71"/>
      <c r="G56" s="71"/>
      <c r="H56" s="71"/>
      <c r="I56" s="71"/>
      <c r="J56" s="71"/>
      <c r="K56" s="93"/>
    </row>
    <row r="57" spans="1:11">
      <c r="A57" s="70"/>
      <c r="B57" s="105" t="s">
        <v>402</v>
      </c>
      <c r="C57" s="106"/>
      <c r="D57" s="106"/>
      <c r="E57" s="106"/>
      <c r="F57" s="106"/>
      <c r="G57" s="106"/>
      <c r="H57" s="106"/>
      <c r="I57" s="106"/>
      <c r="J57" s="106"/>
      <c r="K57" s="107"/>
    </row>
    <row r="58" spans="1:11">
      <c r="A58" s="70"/>
      <c r="B58" s="70"/>
      <c r="C58" s="70"/>
      <c r="D58" s="70"/>
      <c r="E58" s="70"/>
      <c r="F58" s="70"/>
      <c r="G58" s="70"/>
      <c r="H58" s="70"/>
      <c r="I58" s="70"/>
      <c r="J58" s="70"/>
      <c r="K58" s="70"/>
    </row>
    <row r="59" spans="1:11" ht="18.75">
      <c r="B59" s="75" t="s">
        <v>396</v>
      </c>
      <c r="C59" s="70"/>
      <c r="D59" s="70"/>
      <c r="E59" s="70"/>
      <c r="F59" s="70"/>
      <c r="G59" s="70"/>
      <c r="H59" s="70"/>
      <c r="I59" s="70"/>
      <c r="J59" s="70"/>
      <c r="K59" s="70"/>
    </row>
    <row r="60" spans="1:11">
      <c r="B60" s="80" t="s">
        <v>397</v>
      </c>
      <c r="C60" s="81"/>
      <c r="D60" s="81"/>
      <c r="E60" s="81"/>
      <c r="F60" s="81"/>
      <c r="G60" s="81"/>
      <c r="H60" s="81"/>
      <c r="I60" s="81"/>
      <c r="J60" s="81"/>
      <c r="K60" s="82"/>
    </row>
    <row r="61" spans="1:11">
      <c r="B61" s="83"/>
      <c r="C61" s="84"/>
      <c r="D61" s="84"/>
      <c r="E61" s="84"/>
      <c r="F61" s="84"/>
      <c r="G61" s="84"/>
      <c r="H61" s="84"/>
      <c r="I61" s="84"/>
      <c r="J61" s="84"/>
      <c r="K61" s="85"/>
    </row>
    <row r="62" spans="1:11">
      <c r="B62" s="86"/>
      <c r="C62" s="87"/>
      <c r="D62" s="87"/>
      <c r="E62" s="87"/>
      <c r="F62" s="87"/>
      <c r="G62" s="87"/>
      <c r="H62" s="87"/>
      <c r="I62" s="87"/>
      <c r="J62" s="87"/>
      <c r="K62" s="88"/>
    </row>
  </sheetData>
  <sheetProtection algorithmName="SHA-512" hashValue="z+o0b7NYT+c1Mf05oFwbGJ+lBwd726uTWMkird8jHIPPKBw8jQUeTqp1LIojhTTksI5ak9tJ63q973/yidUcAQ==" saltValue="GBcMacilPZJFFahkvtGz6A==" spinCount="100000" sheet="1" objects="1" scenarios="1"/>
  <mergeCells count="28">
    <mergeCell ref="B33:K33"/>
    <mergeCell ref="B1:K1"/>
    <mergeCell ref="B4:K6"/>
    <mergeCell ref="B8:K10"/>
    <mergeCell ref="B15:K15"/>
    <mergeCell ref="B17:K17"/>
    <mergeCell ref="B19:K19"/>
    <mergeCell ref="B22:E22"/>
    <mergeCell ref="B27:K27"/>
    <mergeCell ref="B21:K21"/>
    <mergeCell ref="B23:K23"/>
    <mergeCell ref="B25:K25"/>
    <mergeCell ref="B29:K29"/>
    <mergeCell ref="B31:K31"/>
    <mergeCell ref="B11:K11"/>
    <mergeCell ref="B12:K12"/>
    <mergeCell ref="B47:K47"/>
    <mergeCell ref="B49:K49"/>
    <mergeCell ref="B57:K57"/>
    <mergeCell ref="B35:K35"/>
    <mergeCell ref="B39:K39"/>
    <mergeCell ref="B37:K37"/>
    <mergeCell ref="B41:K41"/>
    <mergeCell ref="B45:K45"/>
    <mergeCell ref="B43:K43"/>
    <mergeCell ref="B51:K51"/>
    <mergeCell ref="B53:K53"/>
    <mergeCell ref="B55:K55"/>
  </mergeCells>
  <hyperlinks>
    <hyperlink ref="B12:K12" r:id="rId1" display="Link to Preliminary Business Case Folder:"/>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pageSetUpPr fitToPage="1"/>
  </sheetPr>
  <dimension ref="A3:R73"/>
  <sheetViews>
    <sheetView showGridLines="0" showRowColHeaders="0" zoomScaleNormal="100" workbookViewId="0">
      <selection activeCell="E9" sqref="E9:H10"/>
    </sheetView>
  </sheetViews>
  <sheetFormatPr defaultRowHeight="15"/>
  <cols>
    <col min="1" max="2" width="1" style="98" customWidth="1"/>
    <col min="3" max="3" width="9.140625" style="98"/>
    <col min="4" max="4" width="14.28515625" style="98" customWidth="1"/>
    <col min="5" max="15" width="9.140625" style="98"/>
    <col min="16" max="16" width="9.140625" style="98" customWidth="1"/>
    <col min="17" max="18" width="1" style="98" customWidth="1"/>
    <col min="19" max="16384" width="9.140625" style="98"/>
  </cols>
  <sheetData>
    <row r="3" spans="1:18" ht="4.5" customHeight="1"/>
    <row r="4" spans="1:18" ht="5.25" customHeight="1"/>
    <row r="5" spans="1:18" s="16" customFormat="1" ht="3.75" customHeight="1"/>
    <row r="6" spans="1:18" ht="24.75" customHeight="1">
      <c r="B6" s="21"/>
      <c r="C6" s="22" t="s">
        <v>364</v>
      </c>
      <c r="D6" s="23"/>
      <c r="E6" s="23"/>
      <c r="F6" s="23"/>
      <c r="G6" s="23"/>
      <c r="H6" s="23"/>
      <c r="I6" s="23"/>
      <c r="K6" s="23"/>
      <c r="L6" s="72"/>
      <c r="M6" s="72"/>
      <c r="N6" s="72"/>
      <c r="O6" s="72"/>
      <c r="P6" s="73" t="s">
        <v>267</v>
      </c>
    </row>
    <row r="7" spans="1:18" ht="5.25" customHeight="1">
      <c r="A7" s="24"/>
      <c r="B7" s="24"/>
      <c r="C7" s="25"/>
      <c r="D7" s="26"/>
      <c r="E7" s="26"/>
      <c r="F7" s="26"/>
      <c r="G7" s="26"/>
      <c r="H7" s="26"/>
      <c r="I7" s="26"/>
      <c r="J7" s="26"/>
      <c r="K7" s="26"/>
      <c r="L7" s="24"/>
      <c r="M7" s="24"/>
      <c r="N7" s="24"/>
      <c r="O7" s="24"/>
      <c r="P7" s="24"/>
      <c r="Q7" s="24"/>
      <c r="R7" s="24"/>
    </row>
    <row r="8" spans="1:18" ht="28.5" customHeight="1">
      <c r="A8" s="24"/>
      <c r="B8" s="27"/>
      <c r="C8" s="174" t="s">
        <v>329</v>
      </c>
      <c r="D8" s="174"/>
      <c r="E8" s="174"/>
      <c r="F8" s="174"/>
      <c r="G8" s="174"/>
      <c r="H8" s="174"/>
      <c r="I8" s="174"/>
      <c r="J8" s="174"/>
      <c r="K8" s="174"/>
      <c r="L8" s="174"/>
      <c r="M8" s="174"/>
      <c r="N8" s="28"/>
      <c r="O8" s="28"/>
      <c r="P8" s="28"/>
      <c r="Q8" s="29"/>
      <c r="R8" s="24"/>
    </row>
    <row r="9" spans="1:18" ht="15" customHeight="1">
      <c r="A9" s="24"/>
      <c r="B9" s="30"/>
      <c r="C9" s="148" t="s">
        <v>374</v>
      </c>
      <c r="D9" s="149"/>
      <c r="E9" s="139"/>
      <c r="F9" s="140"/>
      <c r="G9" s="140"/>
      <c r="H9" s="141"/>
      <c r="I9" s="24"/>
      <c r="J9" s="24"/>
      <c r="K9" s="138" t="s">
        <v>375</v>
      </c>
      <c r="L9" s="150"/>
      <c r="M9" s="139"/>
      <c r="N9" s="140"/>
      <c r="O9" s="140"/>
      <c r="P9" s="141"/>
      <c r="Q9" s="31"/>
      <c r="R9" s="24"/>
    </row>
    <row r="10" spans="1:18">
      <c r="A10" s="24"/>
      <c r="B10" s="30"/>
      <c r="C10" s="148"/>
      <c r="D10" s="149"/>
      <c r="E10" s="142"/>
      <c r="F10" s="143"/>
      <c r="G10" s="143"/>
      <c r="H10" s="144"/>
      <c r="I10" s="24"/>
      <c r="J10" s="24"/>
      <c r="K10" s="151"/>
      <c r="L10" s="150"/>
      <c r="M10" s="142"/>
      <c r="N10" s="143"/>
      <c r="O10" s="143"/>
      <c r="P10" s="144"/>
      <c r="Q10" s="31"/>
      <c r="R10" s="24"/>
    </row>
    <row r="11" spans="1:18" ht="5.25" customHeight="1">
      <c r="A11" s="24"/>
      <c r="B11" s="30"/>
      <c r="C11" s="97"/>
      <c r="D11" s="97"/>
      <c r="E11" s="24"/>
      <c r="F11" s="24"/>
      <c r="G11" s="24"/>
      <c r="H11" s="24"/>
      <c r="I11" s="24"/>
      <c r="J11" s="24"/>
      <c r="K11" s="24"/>
      <c r="L11" s="24"/>
      <c r="M11" s="24"/>
      <c r="N11" s="24"/>
      <c r="O11" s="24"/>
      <c r="P11" s="24"/>
      <c r="Q11" s="31"/>
      <c r="R11" s="24"/>
    </row>
    <row r="12" spans="1:18" ht="15" customHeight="1">
      <c r="A12" s="24"/>
      <c r="B12" s="30"/>
      <c r="C12" s="148" t="s">
        <v>376</v>
      </c>
      <c r="D12" s="149"/>
      <c r="E12" s="152"/>
      <c r="F12" s="153"/>
      <c r="G12" s="153"/>
      <c r="H12" s="153"/>
      <c r="I12" s="153"/>
      <c r="J12" s="153"/>
      <c r="K12" s="153"/>
      <c r="L12" s="153"/>
      <c r="M12" s="153"/>
      <c r="N12" s="153"/>
      <c r="O12" s="153"/>
      <c r="P12" s="154"/>
      <c r="Q12" s="31"/>
      <c r="R12" s="24"/>
    </row>
    <row r="13" spans="1:18">
      <c r="A13" s="24"/>
      <c r="B13" s="30"/>
      <c r="C13" s="148"/>
      <c r="D13" s="149"/>
      <c r="E13" s="155"/>
      <c r="F13" s="156"/>
      <c r="G13" s="156"/>
      <c r="H13" s="156"/>
      <c r="I13" s="156"/>
      <c r="J13" s="156"/>
      <c r="K13" s="156"/>
      <c r="L13" s="156"/>
      <c r="M13" s="156"/>
      <c r="N13" s="156"/>
      <c r="O13" s="156"/>
      <c r="P13" s="157"/>
      <c r="Q13" s="31"/>
      <c r="R13" s="24"/>
    </row>
    <row r="14" spans="1:18">
      <c r="A14" s="24"/>
      <c r="B14" s="30"/>
      <c r="C14" s="24"/>
      <c r="D14" s="24"/>
      <c r="E14" s="155"/>
      <c r="F14" s="156"/>
      <c r="G14" s="156"/>
      <c r="H14" s="156"/>
      <c r="I14" s="156"/>
      <c r="J14" s="156"/>
      <c r="K14" s="156"/>
      <c r="L14" s="156"/>
      <c r="M14" s="156"/>
      <c r="N14" s="156"/>
      <c r="O14" s="156"/>
      <c r="P14" s="157"/>
      <c r="Q14" s="31"/>
      <c r="R14" s="24"/>
    </row>
    <row r="15" spans="1:18">
      <c r="A15" s="24"/>
      <c r="B15" s="30"/>
      <c r="C15" s="24"/>
      <c r="D15" s="24"/>
      <c r="E15" s="155"/>
      <c r="F15" s="156"/>
      <c r="G15" s="156"/>
      <c r="H15" s="156"/>
      <c r="I15" s="156"/>
      <c r="J15" s="156"/>
      <c r="K15" s="156"/>
      <c r="L15" s="156"/>
      <c r="M15" s="156"/>
      <c r="N15" s="156"/>
      <c r="O15" s="156"/>
      <c r="P15" s="157"/>
      <c r="Q15" s="31"/>
      <c r="R15" s="24"/>
    </row>
    <row r="16" spans="1:18">
      <c r="A16" s="24"/>
      <c r="B16" s="30"/>
      <c r="C16" s="24"/>
      <c r="D16" s="24"/>
      <c r="E16" s="155"/>
      <c r="F16" s="156"/>
      <c r="G16" s="156"/>
      <c r="H16" s="156"/>
      <c r="I16" s="156"/>
      <c r="J16" s="156"/>
      <c r="K16" s="156"/>
      <c r="L16" s="156"/>
      <c r="M16" s="156"/>
      <c r="N16" s="156"/>
      <c r="O16" s="156"/>
      <c r="P16" s="157"/>
      <c r="Q16" s="31"/>
      <c r="R16" s="24"/>
    </row>
    <row r="17" spans="1:18">
      <c r="A17" s="24"/>
      <c r="B17" s="30"/>
      <c r="C17" s="24"/>
      <c r="D17" s="24"/>
      <c r="E17" s="158"/>
      <c r="F17" s="159"/>
      <c r="G17" s="159"/>
      <c r="H17" s="159"/>
      <c r="I17" s="159"/>
      <c r="J17" s="159"/>
      <c r="K17" s="159"/>
      <c r="L17" s="159"/>
      <c r="M17" s="159"/>
      <c r="N17" s="159"/>
      <c r="O17" s="159"/>
      <c r="P17" s="160"/>
      <c r="Q17" s="31"/>
      <c r="R17" s="24"/>
    </row>
    <row r="18" spans="1:18" ht="5.25" customHeight="1">
      <c r="A18" s="24"/>
      <c r="B18" s="30"/>
      <c r="C18" s="97"/>
      <c r="D18" s="97"/>
      <c r="E18" s="24"/>
      <c r="F18" s="24"/>
      <c r="G18" s="24"/>
      <c r="H18" s="24"/>
      <c r="I18" s="24"/>
      <c r="J18" s="24"/>
      <c r="K18" s="24"/>
      <c r="L18" s="24"/>
      <c r="M18" s="24"/>
      <c r="N18" s="24"/>
      <c r="O18" s="24"/>
      <c r="P18" s="24"/>
      <c r="Q18" s="31"/>
      <c r="R18" s="24"/>
    </row>
    <row r="19" spans="1:18" ht="15" customHeight="1">
      <c r="A19" s="24"/>
      <c r="B19" s="30"/>
      <c r="C19" s="148" t="s">
        <v>377</v>
      </c>
      <c r="D19" s="148"/>
      <c r="E19" s="161"/>
      <c r="F19" s="162"/>
      <c r="G19" s="162"/>
      <c r="H19" s="162"/>
      <c r="I19" s="162"/>
      <c r="J19" s="162"/>
      <c r="K19" s="162"/>
      <c r="L19" s="162"/>
      <c r="M19" s="162"/>
      <c r="N19" s="162"/>
      <c r="O19" s="162"/>
      <c r="P19" s="163"/>
      <c r="Q19" s="31"/>
      <c r="R19" s="24"/>
    </row>
    <row r="20" spans="1:18">
      <c r="A20" s="24"/>
      <c r="B20" s="30"/>
      <c r="C20" s="148"/>
      <c r="D20" s="148"/>
      <c r="E20" s="164"/>
      <c r="F20" s="165"/>
      <c r="G20" s="165"/>
      <c r="H20" s="165"/>
      <c r="I20" s="165"/>
      <c r="J20" s="165"/>
      <c r="K20" s="165"/>
      <c r="L20" s="165"/>
      <c r="M20" s="165"/>
      <c r="N20" s="165"/>
      <c r="O20" s="165"/>
      <c r="P20" s="166"/>
      <c r="Q20" s="31"/>
      <c r="R20" s="24"/>
    </row>
    <row r="21" spans="1:18">
      <c r="A21" s="24"/>
      <c r="B21" s="30"/>
      <c r="C21" s="24"/>
      <c r="D21" s="24"/>
      <c r="E21" s="164"/>
      <c r="F21" s="165"/>
      <c r="G21" s="165"/>
      <c r="H21" s="165"/>
      <c r="I21" s="165"/>
      <c r="J21" s="165"/>
      <c r="K21" s="165"/>
      <c r="L21" s="165"/>
      <c r="M21" s="165"/>
      <c r="N21" s="165"/>
      <c r="O21" s="165"/>
      <c r="P21" s="166"/>
      <c r="Q21" s="31"/>
      <c r="R21" s="24"/>
    </row>
    <row r="22" spans="1:18">
      <c r="A22" s="24"/>
      <c r="B22" s="30"/>
      <c r="C22" s="24"/>
      <c r="D22" s="24"/>
      <c r="E22" s="164"/>
      <c r="F22" s="165"/>
      <c r="G22" s="165"/>
      <c r="H22" s="165"/>
      <c r="I22" s="165"/>
      <c r="J22" s="165"/>
      <c r="K22" s="165"/>
      <c r="L22" s="165"/>
      <c r="M22" s="165"/>
      <c r="N22" s="165"/>
      <c r="O22" s="165"/>
      <c r="P22" s="166"/>
      <c r="Q22" s="31"/>
      <c r="R22" s="24"/>
    </row>
    <row r="23" spans="1:18">
      <c r="A23" s="24"/>
      <c r="B23" s="30"/>
      <c r="C23" s="24"/>
      <c r="D23" s="24"/>
      <c r="E23" s="164"/>
      <c r="F23" s="165"/>
      <c r="G23" s="165"/>
      <c r="H23" s="165"/>
      <c r="I23" s="165"/>
      <c r="J23" s="165"/>
      <c r="K23" s="165"/>
      <c r="L23" s="165"/>
      <c r="M23" s="165"/>
      <c r="N23" s="165"/>
      <c r="O23" s="165"/>
      <c r="P23" s="166"/>
      <c r="Q23" s="31"/>
      <c r="R23" s="24"/>
    </row>
    <row r="24" spans="1:18">
      <c r="A24" s="24"/>
      <c r="B24" s="30"/>
      <c r="C24" s="24"/>
      <c r="D24" s="24"/>
      <c r="E24" s="164"/>
      <c r="F24" s="165"/>
      <c r="G24" s="165"/>
      <c r="H24" s="165"/>
      <c r="I24" s="165"/>
      <c r="J24" s="165"/>
      <c r="K24" s="165"/>
      <c r="L24" s="165"/>
      <c r="M24" s="165"/>
      <c r="N24" s="165"/>
      <c r="O24" s="165"/>
      <c r="P24" s="166"/>
      <c r="Q24" s="31"/>
      <c r="R24" s="24"/>
    </row>
    <row r="25" spans="1:18">
      <c r="A25" s="24"/>
      <c r="B25" s="30"/>
      <c r="C25" s="24"/>
      <c r="D25" s="24"/>
      <c r="E25" s="164"/>
      <c r="F25" s="165"/>
      <c r="G25" s="165"/>
      <c r="H25" s="165"/>
      <c r="I25" s="165"/>
      <c r="J25" s="165"/>
      <c r="K25" s="165"/>
      <c r="L25" s="165"/>
      <c r="M25" s="165"/>
      <c r="N25" s="165"/>
      <c r="O25" s="165"/>
      <c r="P25" s="166"/>
      <c r="Q25" s="31"/>
      <c r="R25" s="24"/>
    </row>
    <row r="26" spans="1:18">
      <c r="A26" s="24"/>
      <c r="B26" s="30"/>
      <c r="C26" s="24"/>
      <c r="D26" s="24"/>
      <c r="E26" s="164"/>
      <c r="F26" s="165"/>
      <c r="G26" s="165"/>
      <c r="H26" s="165"/>
      <c r="I26" s="165"/>
      <c r="J26" s="165"/>
      <c r="K26" s="165"/>
      <c r="L26" s="165"/>
      <c r="M26" s="165"/>
      <c r="N26" s="165"/>
      <c r="O26" s="165"/>
      <c r="P26" s="166"/>
      <c r="Q26" s="31"/>
      <c r="R26" s="24"/>
    </row>
    <row r="27" spans="1:18">
      <c r="A27" s="24"/>
      <c r="B27" s="30"/>
      <c r="C27" s="24"/>
      <c r="D27" s="24"/>
      <c r="E27" s="167"/>
      <c r="F27" s="168"/>
      <c r="G27" s="168"/>
      <c r="H27" s="168"/>
      <c r="I27" s="168"/>
      <c r="J27" s="168"/>
      <c r="K27" s="168"/>
      <c r="L27" s="168"/>
      <c r="M27" s="168"/>
      <c r="N27" s="168"/>
      <c r="O27" s="168"/>
      <c r="P27" s="169"/>
      <c r="Q27" s="31"/>
      <c r="R27" s="24"/>
    </row>
    <row r="28" spans="1:18" ht="5.25" customHeight="1">
      <c r="A28" s="24"/>
      <c r="B28" s="30"/>
      <c r="C28" s="97"/>
      <c r="D28" s="97"/>
      <c r="E28" s="24"/>
      <c r="F28" s="24"/>
      <c r="G28" s="24"/>
      <c r="H28" s="24"/>
      <c r="I28" s="24"/>
      <c r="J28" s="24"/>
      <c r="K28" s="24"/>
      <c r="L28" s="24"/>
      <c r="M28" s="24"/>
      <c r="N28" s="24"/>
      <c r="O28" s="24"/>
      <c r="P28" s="24"/>
      <c r="Q28" s="31"/>
      <c r="R28" s="24"/>
    </row>
    <row r="29" spans="1:18">
      <c r="A29" s="24"/>
      <c r="B29" s="30"/>
      <c r="C29" s="138" t="s">
        <v>381</v>
      </c>
      <c r="D29" s="149"/>
      <c r="E29" s="161"/>
      <c r="F29" s="162"/>
      <c r="G29" s="162"/>
      <c r="H29" s="162"/>
      <c r="I29" s="162"/>
      <c r="J29" s="162"/>
      <c r="K29" s="162"/>
      <c r="L29" s="162"/>
      <c r="M29" s="162"/>
      <c r="N29" s="162"/>
      <c r="O29" s="162"/>
      <c r="P29" s="163"/>
      <c r="Q29" s="31"/>
      <c r="R29" s="24"/>
    </row>
    <row r="30" spans="1:18">
      <c r="A30" s="24"/>
      <c r="B30" s="30"/>
      <c r="C30" s="148"/>
      <c r="D30" s="149"/>
      <c r="E30" s="164"/>
      <c r="F30" s="165"/>
      <c r="G30" s="165"/>
      <c r="H30" s="165"/>
      <c r="I30" s="165"/>
      <c r="J30" s="165"/>
      <c r="K30" s="165"/>
      <c r="L30" s="165"/>
      <c r="M30" s="165"/>
      <c r="N30" s="165"/>
      <c r="O30" s="165"/>
      <c r="P30" s="166"/>
      <c r="Q30" s="31"/>
      <c r="R30" s="24"/>
    </row>
    <row r="31" spans="1:18">
      <c r="A31" s="24"/>
      <c r="B31" s="30"/>
      <c r="C31" s="148"/>
      <c r="D31" s="149"/>
      <c r="E31" s="164"/>
      <c r="F31" s="165"/>
      <c r="G31" s="165"/>
      <c r="H31" s="165"/>
      <c r="I31" s="165"/>
      <c r="J31" s="165"/>
      <c r="K31" s="165"/>
      <c r="L31" s="165"/>
      <c r="M31" s="165"/>
      <c r="N31" s="165"/>
      <c r="O31" s="165"/>
      <c r="P31" s="166"/>
      <c r="Q31" s="31"/>
      <c r="R31" s="24"/>
    </row>
    <row r="32" spans="1:18">
      <c r="A32" s="24"/>
      <c r="B32" s="30"/>
      <c r="C32" s="148"/>
      <c r="D32" s="149"/>
      <c r="E32" s="167"/>
      <c r="F32" s="168"/>
      <c r="G32" s="168"/>
      <c r="H32" s="168"/>
      <c r="I32" s="168"/>
      <c r="J32" s="168"/>
      <c r="K32" s="168"/>
      <c r="L32" s="168"/>
      <c r="M32" s="168"/>
      <c r="N32" s="168"/>
      <c r="O32" s="168"/>
      <c r="P32" s="169"/>
      <c r="Q32" s="31"/>
      <c r="R32" s="24"/>
    </row>
    <row r="33" spans="1:18" ht="5.25" customHeight="1">
      <c r="A33" s="24"/>
      <c r="B33" s="30"/>
      <c r="C33" s="97"/>
      <c r="D33" s="97"/>
      <c r="E33" s="24"/>
      <c r="F33" s="24"/>
      <c r="G33" s="24"/>
      <c r="H33" s="24"/>
      <c r="I33" s="24"/>
      <c r="J33" s="24"/>
      <c r="K33" s="24"/>
      <c r="L33" s="24"/>
      <c r="M33" s="24"/>
      <c r="N33" s="24"/>
      <c r="O33" s="24"/>
      <c r="P33" s="24"/>
      <c r="Q33" s="31"/>
      <c r="R33" s="24"/>
    </row>
    <row r="34" spans="1:18" ht="15" customHeight="1">
      <c r="A34" s="24"/>
      <c r="B34" s="30"/>
      <c r="C34" s="138" t="s">
        <v>378</v>
      </c>
      <c r="D34" s="150"/>
      <c r="E34" s="139"/>
      <c r="F34" s="140"/>
      <c r="G34" s="140"/>
      <c r="H34" s="141"/>
      <c r="I34" s="24"/>
      <c r="J34" s="125" t="s">
        <v>379</v>
      </c>
      <c r="K34" s="125"/>
      <c r="L34" s="125"/>
      <c r="M34" s="180"/>
      <c r="N34" s="181"/>
      <c r="O34" s="181"/>
      <c r="P34" s="182"/>
      <c r="Q34" s="31"/>
      <c r="R34" s="24"/>
    </row>
    <row r="35" spans="1:18" ht="6.75" customHeight="1">
      <c r="A35" s="24"/>
      <c r="B35" s="30"/>
      <c r="C35" s="138"/>
      <c r="D35" s="150"/>
      <c r="E35" s="145"/>
      <c r="F35" s="146"/>
      <c r="G35" s="146"/>
      <c r="H35" s="147"/>
      <c r="I35" s="24"/>
      <c r="J35" s="24"/>
      <c r="K35" s="38"/>
      <c r="L35" s="38"/>
      <c r="M35" s="38"/>
      <c r="N35" s="38"/>
      <c r="O35" s="38"/>
      <c r="P35" s="38"/>
      <c r="Q35" s="31"/>
      <c r="R35" s="24"/>
    </row>
    <row r="36" spans="1:18">
      <c r="A36" s="24"/>
      <c r="B36" s="30"/>
      <c r="C36" s="151"/>
      <c r="D36" s="150"/>
      <c r="E36" s="142"/>
      <c r="F36" s="143"/>
      <c r="G36" s="143"/>
      <c r="H36" s="144"/>
      <c r="I36" s="24"/>
      <c r="J36" s="125" t="s">
        <v>380</v>
      </c>
      <c r="K36" s="125"/>
      <c r="L36" s="125"/>
      <c r="M36" s="180"/>
      <c r="N36" s="181"/>
      <c r="O36" s="181"/>
      <c r="P36" s="182"/>
      <c r="Q36" s="31"/>
      <c r="R36" s="24"/>
    </row>
    <row r="37" spans="1:18" ht="5.25" customHeight="1">
      <c r="A37" s="24"/>
      <c r="B37" s="32"/>
      <c r="C37" s="33"/>
      <c r="D37" s="33"/>
      <c r="E37" s="33"/>
      <c r="F37" s="33"/>
      <c r="G37" s="33"/>
      <c r="H37" s="33"/>
      <c r="I37" s="33"/>
      <c r="J37" s="33"/>
      <c r="K37" s="33"/>
      <c r="L37" s="33"/>
      <c r="M37" s="33"/>
      <c r="N37" s="33"/>
      <c r="O37" s="33"/>
      <c r="P37" s="33"/>
      <c r="Q37" s="34"/>
      <c r="R37" s="24"/>
    </row>
    <row r="38" spans="1:18" ht="5.25" customHeight="1">
      <c r="A38" s="24"/>
      <c r="B38" s="30"/>
      <c r="C38" s="24"/>
      <c r="D38" s="24"/>
      <c r="E38" s="24"/>
      <c r="F38" s="24"/>
      <c r="G38" s="24"/>
      <c r="H38" s="24"/>
      <c r="I38" s="24"/>
      <c r="J38" s="24"/>
      <c r="K38" s="24"/>
      <c r="L38" s="24"/>
      <c r="M38" s="24"/>
      <c r="N38" s="24"/>
      <c r="O38" s="24"/>
      <c r="P38" s="24"/>
      <c r="Q38" s="31"/>
      <c r="R38" s="24"/>
    </row>
    <row r="39" spans="1:18">
      <c r="A39" s="24"/>
      <c r="B39" s="30"/>
      <c r="C39" s="125" t="s">
        <v>382</v>
      </c>
      <c r="D39" s="125"/>
      <c r="E39" s="126"/>
      <c r="F39" s="127"/>
      <c r="G39" s="127"/>
      <c r="H39" s="128"/>
      <c r="I39" s="24"/>
      <c r="J39" s="125" t="s">
        <v>385</v>
      </c>
      <c r="K39" s="125"/>
      <c r="L39" s="125"/>
      <c r="M39" s="126"/>
      <c r="N39" s="127"/>
      <c r="O39" s="127"/>
      <c r="P39" s="128"/>
      <c r="Q39" s="31"/>
      <c r="R39" s="24"/>
    </row>
    <row r="40" spans="1:18" ht="5.25" customHeight="1">
      <c r="A40" s="24"/>
      <c r="B40" s="30"/>
      <c r="C40" s="24"/>
      <c r="D40" s="24"/>
      <c r="E40" s="24"/>
      <c r="F40" s="24"/>
      <c r="G40" s="24"/>
      <c r="H40" s="24"/>
      <c r="I40" s="24"/>
      <c r="J40" s="24"/>
      <c r="K40" s="24"/>
      <c r="L40" s="24"/>
      <c r="M40" s="24"/>
      <c r="N40" s="24"/>
      <c r="O40" s="24"/>
      <c r="P40" s="24"/>
      <c r="Q40" s="31"/>
      <c r="R40" s="24"/>
    </row>
    <row r="41" spans="1:18" ht="15" customHeight="1">
      <c r="A41" s="24"/>
      <c r="B41" s="30"/>
      <c r="C41" s="148"/>
      <c r="D41" s="148"/>
      <c r="E41" s="138"/>
      <c r="F41" s="138"/>
      <c r="G41" s="138"/>
      <c r="H41" s="138"/>
      <c r="I41" s="24"/>
      <c r="J41" s="24"/>
      <c r="K41" s="24" t="s">
        <v>386</v>
      </c>
      <c r="L41" s="24"/>
      <c r="M41" s="177"/>
      <c r="N41" s="178"/>
      <c r="O41" s="178"/>
      <c r="P41" s="179"/>
      <c r="Q41" s="31"/>
      <c r="R41" s="24"/>
    </row>
    <row r="42" spans="1:18" ht="5.25" customHeight="1">
      <c r="A42" s="24"/>
      <c r="B42" s="30"/>
      <c r="C42" s="24"/>
      <c r="D42" s="24"/>
      <c r="E42" s="24"/>
      <c r="F42" s="24"/>
      <c r="G42" s="24"/>
      <c r="H42" s="24"/>
      <c r="I42" s="24"/>
      <c r="J42" s="24"/>
      <c r="K42" s="24"/>
      <c r="L42" s="24"/>
      <c r="M42" s="24"/>
      <c r="N42" s="24"/>
      <c r="O42" s="24"/>
      <c r="P42" s="24"/>
      <c r="Q42" s="31"/>
      <c r="R42" s="24"/>
    </row>
    <row r="43" spans="1:18">
      <c r="A43" s="24"/>
      <c r="B43" s="30"/>
      <c r="C43" s="138" t="s">
        <v>383</v>
      </c>
      <c r="D43" s="138"/>
      <c r="E43" s="171"/>
      <c r="F43" s="172"/>
      <c r="G43" s="172"/>
      <c r="H43" s="173"/>
      <c r="I43" s="24"/>
      <c r="J43" s="138" t="s">
        <v>387</v>
      </c>
      <c r="K43" s="138"/>
      <c r="L43" s="170"/>
      <c r="M43" s="171"/>
      <c r="N43" s="172"/>
      <c r="O43" s="172"/>
      <c r="P43" s="173"/>
      <c r="Q43" s="31"/>
      <c r="R43" s="24"/>
    </row>
    <row r="44" spans="1:18" ht="5.25" customHeight="1">
      <c r="A44" s="24"/>
      <c r="B44" s="30"/>
      <c r="C44" s="24"/>
      <c r="D44" s="24"/>
      <c r="E44" s="24"/>
      <c r="F44" s="24"/>
      <c r="G44" s="24"/>
      <c r="H44" s="24"/>
      <c r="I44" s="24"/>
      <c r="J44" s="24"/>
      <c r="K44" s="24"/>
      <c r="L44" s="24"/>
      <c r="M44" s="24"/>
      <c r="N44" s="24"/>
      <c r="O44" s="24"/>
      <c r="P44" s="24"/>
      <c r="Q44" s="31"/>
      <c r="R44" s="24"/>
    </row>
    <row r="45" spans="1:18" ht="15" customHeight="1">
      <c r="A45" s="24"/>
      <c r="B45" s="30"/>
      <c r="C45" s="138" t="s">
        <v>366</v>
      </c>
      <c r="D45" s="138"/>
      <c r="E45" s="138"/>
      <c r="F45" s="138"/>
      <c r="G45" s="138"/>
      <c r="H45" s="138"/>
      <c r="I45" s="24"/>
      <c r="J45" s="175" t="s">
        <v>365</v>
      </c>
      <c r="K45" s="175"/>
      <c r="L45" s="176"/>
      <c r="M45" s="171"/>
      <c r="N45" s="172"/>
      <c r="O45" s="172"/>
      <c r="P45" s="173"/>
      <c r="Q45" s="31"/>
      <c r="R45" s="24"/>
    </row>
    <row r="46" spans="1:18" ht="5.25" customHeight="1">
      <c r="A46" s="24"/>
      <c r="B46" s="30"/>
      <c r="C46" s="24"/>
      <c r="D46" s="24"/>
      <c r="E46" s="24"/>
      <c r="F46" s="24"/>
      <c r="G46" s="24"/>
      <c r="H46" s="24"/>
      <c r="I46" s="24"/>
      <c r="J46" s="74"/>
      <c r="K46" s="74"/>
      <c r="L46" s="74"/>
      <c r="M46" s="24"/>
      <c r="N46" s="24"/>
      <c r="O46" s="24"/>
      <c r="P46" s="24"/>
      <c r="Q46" s="31"/>
      <c r="R46" s="24"/>
    </row>
    <row r="47" spans="1:18" ht="15" customHeight="1">
      <c r="A47" s="24"/>
      <c r="B47" s="30"/>
      <c r="C47" s="138" t="s">
        <v>384</v>
      </c>
      <c r="D47" s="138"/>
      <c r="E47" s="171"/>
      <c r="F47" s="172"/>
      <c r="G47" s="172"/>
      <c r="H47" s="173"/>
      <c r="I47" s="24"/>
      <c r="J47" s="175" t="s">
        <v>367</v>
      </c>
      <c r="K47" s="175"/>
      <c r="L47" s="176"/>
      <c r="M47" s="171"/>
      <c r="N47" s="172"/>
      <c r="O47" s="172"/>
      <c r="P47" s="173"/>
      <c r="Q47" s="31"/>
      <c r="R47" s="24"/>
    </row>
    <row r="48" spans="1:18" ht="5.25" customHeight="1">
      <c r="A48" s="24"/>
      <c r="B48" s="30"/>
      <c r="C48" s="24"/>
      <c r="D48" s="24"/>
      <c r="E48" s="24"/>
      <c r="F48" s="24"/>
      <c r="G48" s="24"/>
      <c r="H48" s="24"/>
      <c r="I48" s="24"/>
      <c r="J48" s="24"/>
      <c r="K48" s="24"/>
      <c r="L48" s="24"/>
      <c r="M48" s="24"/>
      <c r="N48" s="24"/>
      <c r="O48" s="24"/>
      <c r="P48" s="24"/>
      <c r="Q48" s="31"/>
      <c r="R48" s="24"/>
    </row>
    <row r="49" spans="1:18">
      <c r="A49" s="24"/>
      <c r="B49" s="30"/>
      <c r="C49" s="175" t="s">
        <v>328</v>
      </c>
      <c r="D49" s="176"/>
      <c r="E49" s="129"/>
      <c r="F49" s="130"/>
      <c r="G49" s="130"/>
      <c r="H49" s="130"/>
      <c r="I49" s="130"/>
      <c r="J49" s="130"/>
      <c r="K49" s="130"/>
      <c r="L49" s="130"/>
      <c r="M49" s="130"/>
      <c r="N49" s="130"/>
      <c r="O49" s="130"/>
      <c r="P49" s="131"/>
      <c r="Q49" s="31"/>
      <c r="R49" s="24"/>
    </row>
    <row r="50" spans="1:18">
      <c r="A50" s="24"/>
      <c r="B50" s="30"/>
      <c r="C50" s="175"/>
      <c r="D50" s="176"/>
      <c r="E50" s="132"/>
      <c r="F50" s="133"/>
      <c r="G50" s="133"/>
      <c r="H50" s="133"/>
      <c r="I50" s="133"/>
      <c r="J50" s="133"/>
      <c r="K50" s="133"/>
      <c r="L50" s="133"/>
      <c r="M50" s="133"/>
      <c r="N50" s="133"/>
      <c r="O50" s="133"/>
      <c r="P50" s="134"/>
      <c r="Q50" s="31"/>
      <c r="R50" s="24"/>
    </row>
    <row r="51" spans="1:18">
      <c r="A51" s="24"/>
      <c r="B51" s="30"/>
      <c r="C51" s="175"/>
      <c r="D51" s="176"/>
      <c r="E51" s="132"/>
      <c r="F51" s="133"/>
      <c r="G51" s="133"/>
      <c r="H51" s="133"/>
      <c r="I51" s="133"/>
      <c r="J51" s="133"/>
      <c r="K51" s="133"/>
      <c r="L51" s="133"/>
      <c r="M51" s="133"/>
      <c r="N51" s="133"/>
      <c r="O51" s="133"/>
      <c r="P51" s="134"/>
      <c r="Q51" s="31"/>
      <c r="R51" s="24"/>
    </row>
    <row r="52" spans="1:18">
      <c r="A52" s="24"/>
      <c r="B52" s="30"/>
      <c r="C52" s="175"/>
      <c r="D52" s="176"/>
      <c r="E52" s="135"/>
      <c r="F52" s="136"/>
      <c r="G52" s="136"/>
      <c r="H52" s="136"/>
      <c r="I52" s="136"/>
      <c r="J52" s="136"/>
      <c r="K52" s="136"/>
      <c r="L52" s="136"/>
      <c r="M52" s="136"/>
      <c r="N52" s="136"/>
      <c r="O52" s="136"/>
      <c r="P52" s="137"/>
      <c r="Q52" s="31"/>
      <c r="R52" s="24"/>
    </row>
    <row r="53" spans="1:18" ht="5.25" customHeight="1">
      <c r="A53" s="24"/>
      <c r="B53" s="30"/>
      <c r="C53" s="24"/>
      <c r="D53" s="24"/>
      <c r="E53" s="24"/>
      <c r="F53" s="24"/>
      <c r="G53" s="24"/>
      <c r="H53" s="24"/>
      <c r="I53" s="24"/>
      <c r="J53" s="24"/>
      <c r="K53" s="24"/>
      <c r="L53" s="24"/>
      <c r="M53" s="24"/>
      <c r="N53" s="24"/>
      <c r="O53" s="24"/>
      <c r="P53" s="24"/>
      <c r="Q53" s="31"/>
      <c r="R53" s="24"/>
    </row>
    <row r="54" spans="1:18" ht="5.25" customHeight="1">
      <c r="A54" s="24"/>
      <c r="B54" s="27"/>
      <c r="C54" s="28"/>
      <c r="D54" s="28"/>
      <c r="E54" s="28"/>
      <c r="F54" s="28"/>
      <c r="G54" s="28"/>
      <c r="H54" s="28"/>
      <c r="I54" s="28"/>
      <c r="J54" s="28"/>
      <c r="K54" s="28"/>
      <c r="L54" s="28"/>
      <c r="M54" s="28"/>
      <c r="N54" s="28"/>
      <c r="O54" s="28"/>
      <c r="P54" s="28"/>
      <c r="Q54" s="29"/>
      <c r="R54" s="24"/>
    </row>
    <row r="55" spans="1:18">
      <c r="A55" s="24"/>
      <c r="B55" s="30"/>
      <c r="C55" s="148" t="s">
        <v>388</v>
      </c>
      <c r="D55" s="149"/>
      <c r="E55" s="183"/>
      <c r="F55" s="184"/>
      <c r="G55" s="184"/>
      <c r="H55" s="184"/>
      <c r="I55" s="184"/>
      <c r="J55" s="185"/>
      <c r="K55" s="125" t="s">
        <v>390</v>
      </c>
      <c r="L55" s="125"/>
      <c r="M55" s="190"/>
      <c r="N55" s="191"/>
      <c r="O55" s="191"/>
      <c r="P55" s="192"/>
      <c r="Q55" s="31"/>
      <c r="R55" s="24"/>
    </row>
    <row r="56" spans="1:18" ht="5.25" customHeight="1">
      <c r="A56" s="24"/>
      <c r="B56" s="30"/>
      <c r="C56" s="38"/>
      <c r="D56" s="38"/>
      <c r="E56" s="186"/>
      <c r="F56" s="187"/>
      <c r="G56" s="187"/>
      <c r="H56" s="187"/>
      <c r="I56" s="187"/>
      <c r="J56" s="188"/>
      <c r="K56" s="24"/>
      <c r="L56" s="24"/>
      <c r="M56" s="193"/>
      <c r="N56" s="194"/>
      <c r="O56" s="194"/>
      <c r="P56" s="195"/>
      <c r="Q56" s="31"/>
      <c r="R56" s="24"/>
    </row>
    <row r="57" spans="1:18" ht="5.25" customHeight="1">
      <c r="A57" s="24"/>
      <c r="B57" s="30"/>
      <c r="C57" s="24"/>
      <c r="D57" s="24"/>
      <c r="E57" s="24"/>
      <c r="F57" s="24"/>
      <c r="G57" s="24"/>
      <c r="H57" s="24"/>
      <c r="I57" s="24"/>
      <c r="J57" s="24"/>
      <c r="K57" s="24"/>
      <c r="L57" s="24"/>
      <c r="M57" s="24"/>
      <c r="N57" s="24"/>
      <c r="O57" s="24"/>
      <c r="P57" s="24"/>
      <c r="Q57" s="31"/>
      <c r="R57" s="24"/>
    </row>
    <row r="58" spans="1:18">
      <c r="A58" s="24"/>
      <c r="B58" s="30"/>
      <c r="C58" s="148" t="s">
        <v>389</v>
      </c>
      <c r="D58" s="149"/>
      <c r="E58" s="183"/>
      <c r="F58" s="184"/>
      <c r="G58" s="184"/>
      <c r="H58" s="184"/>
      <c r="I58" s="184"/>
      <c r="J58" s="185"/>
      <c r="K58" s="125" t="s">
        <v>390</v>
      </c>
      <c r="L58" s="125"/>
      <c r="M58" s="190"/>
      <c r="N58" s="191"/>
      <c r="O58" s="191"/>
      <c r="P58" s="192"/>
      <c r="Q58" s="31"/>
      <c r="R58" s="24"/>
    </row>
    <row r="59" spans="1:18" ht="5.25" customHeight="1">
      <c r="A59" s="24"/>
      <c r="B59" s="30"/>
      <c r="C59" s="38"/>
      <c r="D59" s="38"/>
      <c r="E59" s="186"/>
      <c r="F59" s="187"/>
      <c r="G59" s="187"/>
      <c r="H59" s="187"/>
      <c r="I59" s="187"/>
      <c r="J59" s="188"/>
      <c r="K59" s="24"/>
      <c r="L59" s="24"/>
      <c r="M59" s="193"/>
      <c r="N59" s="194"/>
      <c r="O59" s="194"/>
      <c r="P59" s="195"/>
      <c r="Q59" s="31"/>
      <c r="R59" s="24"/>
    </row>
    <row r="60" spans="1:18" ht="5.25" customHeight="1">
      <c r="A60" s="24"/>
      <c r="B60" s="32"/>
      <c r="C60" s="33"/>
      <c r="D60" s="33"/>
      <c r="E60" s="33"/>
      <c r="F60" s="33"/>
      <c r="G60" s="33"/>
      <c r="H60" s="33"/>
      <c r="I60" s="33"/>
      <c r="J60" s="33"/>
      <c r="K60" s="33"/>
      <c r="L60" s="33"/>
      <c r="M60" s="33"/>
      <c r="N60" s="33"/>
      <c r="O60" s="33"/>
      <c r="P60" s="33"/>
      <c r="Q60" s="34"/>
      <c r="R60" s="24"/>
    </row>
    <row r="61" spans="1:18" ht="5.25" customHeight="1">
      <c r="A61" s="24"/>
      <c r="B61" s="30"/>
      <c r="C61" s="24"/>
      <c r="D61" s="24"/>
      <c r="E61" s="24"/>
      <c r="F61" s="24"/>
      <c r="G61" s="24"/>
      <c r="H61" s="24"/>
      <c r="I61" s="24"/>
      <c r="J61" s="24"/>
      <c r="K61" s="24"/>
      <c r="L61" s="24"/>
      <c r="M61" s="24"/>
      <c r="N61" s="24"/>
      <c r="O61" s="24"/>
      <c r="P61" s="24"/>
      <c r="Q61" s="31"/>
      <c r="R61" s="24"/>
    </row>
    <row r="62" spans="1:18" ht="15" customHeight="1">
      <c r="A62" s="24"/>
      <c r="B62" s="30"/>
      <c r="C62" s="148" t="s">
        <v>398</v>
      </c>
      <c r="D62" s="149"/>
      <c r="E62" s="196"/>
      <c r="F62" s="197"/>
      <c r="G62" s="197"/>
      <c r="H62" s="198"/>
      <c r="I62" s="24"/>
      <c r="J62" s="138" t="s">
        <v>399</v>
      </c>
      <c r="K62" s="138"/>
      <c r="L62" s="138"/>
      <c r="M62" s="139"/>
      <c r="N62" s="140"/>
      <c r="O62" s="140"/>
      <c r="P62" s="141"/>
      <c r="Q62" s="31"/>
      <c r="R62" s="24"/>
    </row>
    <row r="63" spans="1:18" ht="5.25" customHeight="1">
      <c r="A63" s="24"/>
      <c r="B63" s="30"/>
      <c r="C63" s="24"/>
      <c r="D63" s="24"/>
      <c r="E63" s="24"/>
      <c r="F63" s="24"/>
      <c r="G63" s="24"/>
      <c r="H63" s="24"/>
      <c r="I63" s="24"/>
      <c r="J63" s="138"/>
      <c r="K63" s="138"/>
      <c r="L63" s="138"/>
      <c r="M63" s="145"/>
      <c r="N63" s="146"/>
      <c r="O63" s="146"/>
      <c r="P63" s="147"/>
      <c r="Q63" s="31"/>
      <c r="R63" s="24"/>
    </row>
    <row r="64" spans="1:18">
      <c r="A64" s="24"/>
      <c r="B64" s="30"/>
      <c r="C64" s="125" t="s">
        <v>400</v>
      </c>
      <c r="D64" s="199"/>
      <c r="E64" s="196"/>
      <c r="F64" s="197"/>
      <c r="G64" s="197"/>
      <c r="H64" s="198"/>
      <c r="I64" s="24"/>
      <c r="J64" s="138"/>
      <c r="K64" s="138"/>
      <c r="L64" s="138"/>
      <c r="M64" s="142"/>
      <c r="N64" s="143"/>
      <c r="O64" s="143"/>
      <c r="P64" s="144"/>
      <c r="Q64" s="31"/>
      <c r="R64" s="24"/>
    </row>
    <row r="65" spans="1:18" ht="5.25" customHeight="1">
      <c r="A65" s="24"/>
      <c r="B65" s="32"/>
      <c r="C65" s="33"/>
      <c r="D65" s="33"/>
      <c r="E65" s="33"/>
      <c r="F65" s="33"/>
      <c r="G65" s="33"/>
      <c r="H65" s="33"/>
      <c r="I65" s="33"/>
      <c r="J65" s="33"/>
      <c r="K65" s="33"/>
      <c r="L65" s="33"/>
      <c r="M65" s="33"/>
      <c r="N65" s="33"/>
      <c r="O65" s="33"/>
      <c r="P65" s="33"/>
      <c r="Q65" s="34"/>
      <c r="R65" s="24"/>
    </row>
    <row r="66" spans="1:18" ht="5.25" customHeight="1">
      <c r="A66" s="24"/>
      <c r="B66" s="27"/>
      <c r="C66" s="28"/>
      <c r="D66" s="28"/>
      <c r="E66" s="28"/>
      <c r="F66" s="28"/>
      <c r="G66" s="28"/>
      <c r="H66" s="28"/>
      <c r="I66" s="28"/>
      <c r="J66" s="28"/>
      <c r="K66" s="28"/>
      <c r="L66" s="28"/>
      <c r="M66" s="28"/>
      <c r="N66" s="28"/>
      <c r="O66" s="28"/>
      <c r="P66" s="28"/>
      <c r="Q66" s="29"/>
      <c r="R66" s="24"/>
    </row>
    <row r="67" spans="1:18">
      <c r="A67" s="24"/>
      <c r="B67" s="30"/>
      <c r="C67" s="175" t="s">
        <v>401</v>
      </c>
      <c r="D67" s="176"/>
      <c r="E67" s="129"/>
      <c r="F67" s="130"/>
      <c r="G67" s="130"/>
      <c r="H67" s="130"/>
      <c r="I67" s="130"/>
      <c r="J67" s="130"/>
      <c r="K67" s="130"/>
      <c r="L67" s="130"/>
      <c r="M67" s="130"/>
      <c r="N67" s="130"/>
      <c r="O67" s="130"/>
      <c r="P67" s="131"/>
      <c r="Q67" s="31"/>
      <c r="R67" s="24"/>
    </row>
    <row r="68" spans="1:18">
      <c r="A68" s="24"/>
      <c r="B68" s="30"/>
      <c r="C68" s="175"/>
      <c r="D68" s="176"/>
      <c r="E68" s="132"/>
      <c r="F68" s="133"/>
      <c r="G68" s="133"/>
      <c r="H68" s="133"/>
      <c r="I68" s="133"/>
      <c r="J68" s="133"/>
      <c r="K68" s="133"/>
      <c r="L68" s="133"/>
      <c r="M68" s="133"/>
      <c r="N68" s="133"/>
      <c r="O68" s="133"/>
      <c r="P68" s="134"/>
      <c r="Q68" s="31"/>
      <c r="R68" s="24"/>
    </row>
    <row r="69" spans="1:18">
      <c r="A69" s="24"/>
      <c r="B69" s="30"/>
      <c r="C69" s="175"/>
      <c r="D69" s="176"/>
      <c r="E69" s="132"/>
      <c r="F69" s="133"/>
      <c r="G69" s="133"/>
      <c r="H69" s="133"/>
      <c r="I69" s="133"/>
      <c r="J69" s="133"/>
      <c r="K69" s="133"/>
      <c r="L69" s="133"/>
      <c r="M69" s="133"/>
      <c r="N69" s="133"/>
      <c r="O69" s="133"/>
      <c r="P69" s="134"/>
      <c r="Q69" s="31"/>
      <c r="R69" s="24"/>
    </row>
    <row r="70" spans="1:18">
      <c r="A70" s="24"/>
      <c r="B70" s="30"/>
      <c r="C70" s="175"/>
      <c r="D70" s="176"/>
      <c r="E70" s="135"/>
      <c r="F70" s="136"/>
      <c r="G70" s="136"/>
      <c r="H70" s="136"/>
      <c r="I70" s="136"/>
      <c r="J70" s="136"/>
      <c r="K70" s="136"/>
      <c r="L70" s="136"/>
      <c r="M70" s="136"/>
      <c r="N70" s="136"/>
      <c r="O70" s="136"/>
      <c r="P70" s="137"/>
      <c r="Q70" s="31"/>
      <c r="R70" s="24"/>
    </row>
    <row r="71" spans="1:18">
      <c r="A71" s="24"/>
      <c r="B71" s="32"/>
      <c r="C71" s="33"/>
      <c r="D71" s="33"/>
      <c r="E71" s="33"/>
      <c r="F71" s="33"/>
      <c r="G71" s="33"/>
      <c r="H71" s="33"/>
      <c r="I71" s="33"/>
      <c r="J71" s="33"/>
      <c r="K71" s="33"/>
      <c r="L71" s="33"/>
      <c r="M71" s="33"/>
      <c r="N71" s="33"/>
      <c r="O71" s="33"/>
      <c r="P71" s="33"/>
      <c r="Q71" s="34"/>
      <c r="R71" s="24"/>
    </row>
    <row r="72" spans="1:18">
      <c r="A72" s="24"/>
      <c r="B72" s="24"/>
      <c r="C72" s="24"/>
      <c r="D72" s="24"/>
      <c r="E72" s="24"/>
      <c r="F72" s="24"/>
      <c r="G72" s="24"/>
      <c r="H72" s="24"/>
      <c r="I72" s="24"/>
      <c r="J72" s="24"/>
      <c r="K72" s="24"/>
      <c r="L72" s="24"/>
      <c r="M72" s="24"/>
      <c r="N72" s="24"/>
      <c r="O72" s="24"/>
      <c r="P72" s="24"/>
      <c r="Q72" s="24"/>
      <c r="R72" s="24"/>
    </row>
    <row r="73" spans="1:18">
      <c r="A73" s="24"/>
      <c r="B73" s="24"/>
      <c r="C73" s="189" t="s">
        <v>373</v>
      </c>
      <c r="D73" s="189"/>
      <c r="E73" s="189"/>
      <c r="F73" s="189"/>
      <c r="G73" s="189"/>
      <c r="H73" s="189"/>
      <c r="I73" s="189"/>
      <c r="J73" s="189"/>
      <c r="K73" s="189"/>
      <c r="L73" s="189"/>
      <c r="M73" s="189"/>
      <c r="N73" s="189"/>
      <c r="O73" s="189"/>
      <c r="P73" s="189"/>
      <c r="Q73" s="24"/>
      <c r="R73" s="24"/>
    </row>
  </sheetData>
  <sheetProtection algorithmName="SHA-512" hashValue="Mcc8H3gSzGL5fulcrnNUK3TOswC9YMtQEyG+5gquX6LhxKR0lcCaZxIyCS7RUroa3cCGexUuhoTQ8dkCMMt/1g==" saltValue="UsNII70J8x685lNr69H9nQ==" spinCount="100000" sheet="1" objects="1" scenarios="1" selectLockedCells="1"/>
  <dataConsolidate/>
  <mergeCells count="57">
    <mergeCell ref="C67:D70"/>
    <mergeCell ref="E67:P70"/>
    <mergeCell ref="C73:P73"/>
    <mergeCell ref="C55:D55"/>
    <mergeCell ref="C58:D58"/>
    <mergeCell ref="M55:P56"/>
    <mergeCell ref="E58:J59"/>
    <mergeCell ref="K58:L58"/>
    <mergeCell ref="M58:P59"/>
    <mergeCell ref="M62:P64"/>
    <mergeCell ref="E62:H62"/>
    <mergeCell ref="E64:H64"/>
    <mergeCell ref="J62:L64"/>
    <mergeCell ref="C62:D62"/>
    <mergeCell ref="C64:D64"/>
    <mergeCell ref="C47:D47"/>
    <mergeCell ref="E47:H47"/>
    <mergeCell ref="J47:L47"/>
    <mergeCell ref="K55:L55"/>
    <mergeCell ref="E55:J56"/>
    <mergeCell ref="C8:M8"/>
    <mergeCell ref="C49:D52"/>
    <mergeCell ref="M41:P41"/>
    <mergeCell ref="J34:L34"/>
    <mergeCell ref="J36:L36"/>
    <mergeCell ref="M34:P34"/>
    <mergeCell ref="M36:P36"/>
    <mergeCell ref="M47:P47"/>
    <mergeCell ref="E45:F45"/>
    <mergeCell ref="G45:H45"/>
    <mergeCell ref="C29:D32"/>
    <mergeCell ref="E41:F41"/>
    <mergeCell ref="J45:L45"/>
    <mergeCell ref="M45:P45"/>
    <mergeCell ref="C43:D43"/>
    <mergeCell ref="E43:H43"/>
    <mergeCell ref="C45:D45"/>
    <mergeCell ref="E9:H10"/>
    <mergeCell ref="E34:H36"/>
    <mergeCell ref="C19:D20"/>
    <mergeCell ref="C9:D10"/>
    <mergeCell ref="C34:D36"/>
    <mergeCell ref="C12:D13"/>
    <mergeCell ref="E12:P17"/>
    <mergeCell ref="K9:L10"/>
    <mergeCell ref="M9:P10"/>
    <mergeCell ref="E19:P27"/>
    <mergeCell ref="J43:L43"/>
    <mergeCell ref="M43:P43"/>
    <mergeCell ref="E29:P32"/>
    <mergeCell ref="C41:D41"/>
    <mergeCell ref="C39:D39"/>
    <mergeCell ref="J39:L39"/>
    <mergeCell ref="M39:P39"/>
    <mergeCell ref="E49:P52"/>
    <mergeCell ref="G41:H41"/>
    <mergeCell ref="E39:H39"/>
  </mergeCells>
  <dataValidations count="23">
    <dataValidation allowBlank="1" showInputMessage="1" showErrorMessage="1" prompt="Provide the name of the person completing this document.  Enter this information in the format &lt;LASTNAME, FIRSTNAME&gt;." sqref="M9:P10"/>
    <dataValidation allowBlank="1" showInputMessage="1" showErrorMessage="1" prompt="Provide the name of the Business Case Owner responsible for this initiative.  Enter this information in the format &lt;LASTNAME, FIRSTNAME&gt;.  " sqref="F37:H38 F40:H40 E37:E38 E40"/>
    <dataValidation allowBlank="1" showInputMessage="1" showErrorMessage="1" prompt="Using bullet points, please provide a concise description of this initiative.  A bullet point can be added using a combination of ALT+ENTER keys.  " sqref="E12:P17"/>
    <dataValidation type="list" allowBlank="1" showInputMessage="1" showErrorMessage="1" prompt="Using the drop-down list provided, please select the currency for calculating the initiative's costs and benefits." sqref="M37:P38 M40:P40">
      <formula1>currency</formula1>
    </dataValidation>
    <dataValidation allowBlank="1" showInputMessage="1" showErrorMessage="1" prompt="Describe the scope of this initiative, specifically including its logical and organisational aspects, time, cost and deliverables.  " sqref="E19:P27"/>
    <dataValidation allowBlank="1" showInputMessage="1" showErrorMessage="1" prompt="Summarize the key Benefits to be delivered by this initiative and any Risk / Impact if not done." sqref="E29:P32"/>
    <dataValidation type="list" allowBlank="1" showInputMessage="1" showErrorMessage="1" prompt="Select E2E Flow to review this Request for Improvement._x000a_In case cross E2E, please detail it under scope description._x000a_If request is for Additional Area, please leave this field blank." sqref="E43:H43">
      <formula1>NBEReference</formula1>
    </dataValidation>
    <dataValidation type="list" allowBlank="1" showInputMessage="1" showErrorMessage="1" prompt="Please select the Additional Area if relevant." sqref="E47:H47">
      <formula1>AdditionalArea</formula1>
    </dataValidation>
    <dataValidation allowBlank="1" showInputMessage="1" showErrorMessage="1" prompt="If Market Request, provide the name of the NIM E2E Lead endorsing this initiative. LGO GLOBE Manager to sign-off if request for improvement is for Other Areas (Data, Digital, BA or GTS)._x000a_Enter this information in the format &lt;LASTNAME, FIRSTNAME&gt;." sqref="E55:J56"/>
    <dataValidation allowBlank="1" showInputMessage="1" showErrorMessage="1" prompt="If Market Request, Please provide the name of the NIM Integration Lead endorsing this initiative._x000a_Enter this information in the format &lt;LASTNAME, FIRSTNAME&gt;." sqref="E58:J59"/>
    <dataValidation allowBlank="1" showInputMessage="1" showErrorMessage="1" prompt="Enter figures in &quot;Thousands&quot; of selected currency. Include all CAPEX Costs identified at the moment." sqref="M45:P45"/>
    <dataValidation allowBlank="1" showInputMessage="1" showErrorMessage="1" prompt="Details to be published in March 2016" sqref="E49:P52"/>
    <dataValidation allowBlank="1" showInputMessage="1" showErrorMessage="1" prompt="Provide the name and position of the Business Case Owner responsible for this initiative.  Enter this information in the format &lt;LASTNAME, FIRSTNAME&gt;.  " sqref="E34:H36"/>
    <dataValidation allowBlank="1" showInputMessage="1" showErrorMessage="1" prompt="Enter figure in &quot;Thousands&quot; of selected currency if estimation is available at this stage. Consider all financial cashable or non cashable benefits." sqref="M47:P47"/>
    <dataValidation allowBlank="1" showInputMessage="1" showErrorMessage="1" prompt="Enter figures in &quot;Thousands&quot; of selected currency. Include Local, RBS &amp; D&amp;B Costs identified at the moment." sqref="M43:P43"/>
    <dataValidation allowBlank="1" showInputMessage="1" showErrorMessage="1" prompt="If already known, provide a NPDI identifier for this initiative." sqref="F63:H63 E63"/>
    <dataValidation allowBlank="1" showInputMessage="1" showErrorMessage="1" prompt="If already known, provide the name of the Program Manager responsible for this initiative.  Enter this information in the format &lt;LASTNAME, FIRSTNAME&gt;.  " sqref="M62"/>
    <dataValidation allowBlank="1" showInputMessage="1" showErrorMessage="1" prompt="If already known, provide a Nestool BR ID for this initiative." sqref="E64:H64"/>
    <dataValidation allowBlank="1" showInputMessage="1" showErrorMessage="1" prompt="Date Format example: 01-Mar-2016" sqref="M34:P34 M36:P36 M58:P59 M55:P56"/>
    <dataValidation allowBlank="1" showInputMessage="1" showErrorMessage="1" prompt="Summarize how the Initial estimated Cost and Benefits figures were calculated" sqref="E67:P70"/>
    <dataValidation type="list" allowBlank="1" showInputMessage="1" showErrorMessage="1" prompt="Select the requesting Market from the drop down list." sqref="E39:H39">
      <formula1>Market</formula1>
    </dataValidation>
    <dataValidation allowBlank="1" showInputMessage="1" showErrorMessage="1" prompt="If this Request for Improvement is part of an existing Project or Program, please provide NPDI ID for this initiative." sqref="E62:H62"/>
    <dataValidation type="list" allowBlank="1" showInputMessage="1" showErrorMessage="1" prompt="Using the drop-down list provided, select the currency for the initiative's costs and benefits." sqref="M41:P41">
      <formula1>currency</formula1>
    </dataValidation>
  </dataValidations>
  <printOptions horizontalCentered="1"/>
  <pageMargins left="0.7" right="0.7" top="0.75" bottom="0.75" header="0.3" footer="0.3"/>
  <pageSetup paperSize="9" scale="97" orientation="landscape" r:id="rId1"/>
  <headerFooter>
    <oddFooter>&amp;L&amp;D&amp;C&amp;F - &amp;A&amp;R&amp;P/&amp;N</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'Source Data'!$Y$2:$Y$16</xm:f>
          </x14:formula1>
          <xm:sqref>M39:P39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E52"/>
  <sheetViews>
    <sheetView showGridLines="0" showRowColHeaders="0" workbookViewId="0">
      <selection activeCell="B4" sqref="B4"/>
    </sheetView>
  </sheetViews>
  <sheetFormatPr defaultRowHeight="15"/>
  <cols>
    <col min="1" max="1" width="1.5703125" style="35" customWidth="1"/>
    <col min="2" max="2" width="10.140625" bestFit="1" customWidth="1"/>
    <col min="3" max="3" width="9.140625" style="35" customWidth="1"/>
    <col min="4" max="4" width="77.140625" customWidth="1"/>
    <col min="5" max="5" width="1.42578125" customWidth="1"/>
  </cols>
  <sheetData>
    <row r="1" spans="1:5" s="35" customFormat="1" ht="8.25" customHeight="1">
      <c r="A1" s="39"/>
      <c r="B1" s="39"/>
      <c r="C1" s="39"/>
      <c r="D1" s="39"/>
      <c r="E1" s="39"/>
    </row>
    <row r="2" spans="1:5" s="55" customFormat="1" ht="22.5" customHeight="1">
      <c r="A2" s="39"/>
      <c r="B2" s="69" t="s">
        <v>330</v>
      </c>
      <c r="C2" s="39"/>
      <c r="D2" s="39"/>
      <c r="E2" s="39"/>
    </row>
    <row r="3" spans="1:5">
      <c r="A3" s="39"/>
      <c r="B3" s="49" t="s">
        <v>8</v>
      </c>
      <c r="C3" s="49" t="s">
        <v>243</v>
      </c>
      <c r="D3" s="49" t="s">
        <v>4</v>
      </c>
      <c r="E3" s="39"/>
    </row>
    <row r="4" spans="1:5">
      <c r="A4" s="39"/>
      <c r="B4" s="50"/>
      <c r="C4" s="60"/>
      <c r="D4" s="52"/>
      <c r="E4" s="39"/>
    </row>
    <row r="5" spans="1:5" ht="15" customHeight="1">
      <c r="A5" s="39"/>
      <c r="B5" s="50"/>
      <c r="C5" s="51"/>
      <c r="D5" s="52"/>
      <c r="E5" s="39"/>
    </row>
    <row r="6" spans="1:5">
      <c r="A6" s="39"/>
      <c r="B6" s="50"/>
      <c r="C6" s="51"/>
      <c r="D6" s="52"/>
      <c r="E6" s="39"/>
    </row>
    <row r="7" spans="1:5">
      <c r="A7" s="39"/>
      <c r="B7" s="50"/>
      <c r="C7" s="51"/>
      <c r="D7" s="52"/>
      <c r="E7" s="39"/>
    </row>
    <row r="8" spans="1:5">
      <c r="A8" s="39"/>
      <c r="B8" s="50"/>
      <c r="C8" s="51"/>
      <c r="D8" s="52"/>
      <c r="E8" s="39"/>
    </row>
    <row r="9" spans="1:5">
      <c r="A9" s="39"/>
      <c r="B9" s="50"/>
      <c r="C9" s="51"/>
      <c r="D9" s="52"/>
      <c r="E9" s="39"/>
    </row>
    <row r="10" spans="1:5">
      <c r="A10" s="39"/>
      <c r="B10" s="50"/>
      <c r="C10" s="51"/>
      <c r="D10" s="52"/>
      <c r="E10" s="39"/>
    </row>
    <row r="11" spans="1:5">
      <c r="A11" s="39"/>
      <c r="B11" s="50"/>
      <c r="C11" s="51"/>
      <c r="D11" s="52"/>
      <c r="E11" s="39"/>
    </row>
    <row r="12" spans="1:5">
      <c r="A12" s="39"/>
      <c r="B12" s="50"/>
      <c r="C12" s="51"/>
      <c r="D12" s="52"/>
      <c r="E12" s="39"/>
    </row>
    <row r="13" spans="1:5">
      <c r="A13" s="39"/>
      <c r="B13" s="50"/>
      <c r="C13" s="51"/>
      <c r="D13" s="52"/>
      <c r="E13" s="39"/>
    </row>
    <row r="14" spans="1:5">
      <c r="A14" s="39"/>
      <c r="B14" s="50"/>
      <c r="C14" s="51"/>
      <c r="D14" s="52"/>
      <c r="E14" s="39"/>
    </row>
    <row r="15" spans="1:5">
      <c r="A15" s="39"/>
      <c r="B15" s="50"/>
      <c r="C15" s="51"/>
      <c r="D15" s="52"/>
      <c r="E15" s="39"/>
    </row>
    <row r="16" spans="1:5">
      <c r="A16" s="39"/>
      <c r="B16" s="50"/>
      <c r="C16" s="51"/>
      <c r="D16" s="52"/>
      <c r="E16" s="39"/>
    </row>
    <row r="17" spans="1:5">
      <c r="A17" s="39"/>
      <c r="B17" s="50"/>
      <c r="C17" s="51"/>
      <c r="D17" s="52"/>
      <c r="E17" s="39"/>
    </row>
    <row r="18" spans="1:5">
      <c r="A18" s="39"/>
      <c r="B18" s="50"/>
      <c r="C18" s="51"/>
      <c r="D18" s="52"/>
      <c r="E18" s="39"/>
    </row>
    <row r="19" spans="1:5">
      <c r="A19" s="39"/>
      <c r="B19" s="50"/>
      <c r="C19" s="51"/>
      <c r="D19" s="52"/>
      <c r="E19" s="39"/>
    </row>
    <row r="20" spans="1:5">
      <c r="A20" s="39"/>
      <c r="B20" s="50"/>
      <c r="C20" s="51"/>
      <c r="D20" s="52"/>
      <c r="E20" s="39"/>
    </row>
    <row r="21" spans="1:5">
      <c r="A21" s="39"/>
      <c r="B21" s="50"/>
      <c r="C21" s="51"/>
      <c r="D21" s="52"/>
      <c r="E21" s="39"/>
    </row>
    <row r="22" spans="1:5">
      <c r="A22" s="39"/>
      <c r="B22" s="50"/>
      <c r="C22" s="51"/>
      <c r="D22" s="52"/>
      <c r="E22" s="39"/>
    </row>
    <row r="23" spans="1:5">
      <c r="A23" s="39"/>
      <c r="B23" s="50"/>
      <c r="C23" s="51"/>
      <c r="D23" s="52"/>
      <c r="E23" s="39"/>
    </row>
    <row r="24" spans="1:5">
      <c r="A24" s="39"/>
      <c r="B24" s="50"/>
      <c r="C24" s="51"/>
      <c r="D24" s="52"/>
      <c r="E24" s="39"/>
    </row>
    <row r="25" spans="1:5">
      <c r="A25" s="39"/>
      <c r="B25" s="50"/>
      <c r="C25" s="51"/>
      <c r="D25" s="52"/>
      <c r="E25" s="39"/>
    </row>
    <row r="26" spans="1:5">
      <c r="A26" s="39"/>
      <c r="B26" s="50"/>
      <c r="C26" s="51"/>
      <c r="D26" s="52"/>
      <c r="E26" s="39"/>
    </row>
    <row r="27" spans="1:5">
      <c r="A27" s="39"/>
      <c r="B27" s="50"/>
      <c r="C27" s="51"/>
      <c r="D27" s="52"/>
      <c r="E27" s="39"/>
    </row>
    <row r="28" spans="1:5">
      <c r="A28" s="39"/>
      <c r="B28" s="50"/>
      <c r="C28" s="51"/>
      <c r="D28" s="52"/>
      <c r="E28" s="39"/>
    </row>
    <row r="29" spans="1:5">
      <c r="A29" s="39"/>
      <c r="B29" s="50"/>
      <c r="C29" s="51"/>
      <c r="D29" s="52"/>
      <c r="E29" s="39"/>
    </row>
    <row r="30" spans="1:5">
      <c r="A30" s="39"/>
      <c r="B30" s="50"/>
      <c r="C30" s="51"/>
      <c r="D30" s="52"/>
      <c r="E30" s="39"/>
    </row>
    <row r="31" spans="1:5">
      <c r="A31" s="39"/>
      <c r="B31" s="50"/>
      <c r="C31" s="51"/>
      <c r="D31" s="52"/>
      <c r="E31" s="39"/>
    </row>
    <row r="32" spans="1:5" ht="9" customHeight="1">
      <c r="A32" s="39"/>
      <c r="B32" s="43"/>
      <c r="C32" s="44"/>
      <c r="D32" s="45"/>
      <c r="E32" s="39"/>
    </row>
    <row r="33" spans="2:4">
      <c r="B33" s="40"/>
      <c r="C33" s="41"/>
      <c r="D33" s="42"/>
    </row>
    <row r="34" spans="2:4">
      <c r="B34" s="40"/>
      <c r="C34" s="41"/>
      <c r="D34" s="41"/>
    </row>
    <row r="35" spans="2:4">
      <c r="B35" s="40"/>
      <c r="C35" s="41"/>
      <c r="D35" s="41"/>
    </row>
    <row r="36" spans="2:4">
      <c r="B36" s="40"/>
      <c r="C36" s="41"/>
      <c r="D36" s="41"/>
    </row>
    <row r="37" spans="2:4">
      <c r="B37" s="40"/>
      <c r="C37" s="41"/>
      <c r="D37" s="41"/>
    </row>
    <row r="38" spans="2:4">
      <c r="B38" s="40"/>
      <c r="C38" s="41"/>
      <c r="D38" s="41"/>
    </row>
    <row r="39" spans="2:4">
      <c r="B39" s="40"/>
      <c r="C39" s="41"/>
      <c r="D39" s="41"/>
    </row>
    <row r="40" spans="2:4">
      <c r="B40" s="40"/>
      <c r="C40" s="41"/>
      <c r="D40" s="41"/>
    </row>
    <row r="41" spans="2:4">
      <c r="B41" s="40"/>
      <c r="C41" s="41"/>
      <c r="D41" s="41"/>
    </row>
    <row r="42" spans="2:4">
      <c r="B42" s="40"/>
      <c r="C42" s="41"/>
      <c r="D42" s="41"/>
    </row>
    <row r="43" spans="2:4">
      <c r="B43" s="40"/>
      <c r="C43" s="41"/>
      <c r="D43" s="41"/>
    </row>
    <row r="44" spans="2:4">
      <c r="B44" s="40"/>
      <c r="C44" s="41"/>
      <c r="D44" s="41"/>
    </row>
    <row r="45" spans="2:4">
      <c r="B45" s="40"/>
      <c r="C45" s="41"/>
      <c r="D45" s="41"/>
    </row>
    <row r="46" spans="2:4">
      <c r="B46" s="40"/>
      <c r="C46" s="41"/>
      <c r="D46" s="41"/>
    </row>
    <row r="47" spans="2:4">
      <c r="B47" s="40"/>
      <c r="C47" s="41"/>
      <c r="D47" s="41"/>
    </row>
    <row r="48" spans="2:4">
      <c r="B48" s="40"/>
      <c r="C48" s="41"/>
      <c r="D48" s="41"/>
    </row>
    <row r="49" spans="2:4">
      <c r="B49" s="40"/>
      <c r="C49" s="41"/>
      <c r="D49" s="41"/>
    </row>
    <row r="50" spans="2:4">
      <c r="B50" s="40"/>
      <c r="C50" s="41"/>
      <c r="D50" s="41"/>
    </row>
    <row r="51" spans="2:4">
      <c r="B51" s="40"/>
      <c r="C51" s="41"/>
      <c r="D51" s="41"/>
    </row>
    <row r="52" spans="2:4">
      <c r="B52" s="40"/>
    </row>
  </sheetData>
  <sheetProtection algorithmName="SHA-512" hashValue="PZZotny9pd1MLW2nluIiPb3tCx8/KwpDt+ihAAJdd5NeZ/A5UfxagA30FEhx+TsDV8On7EL9OUZIK+Byh8slfw==" saltValue="VdMyXP/cXKf0KQbfhaTN7A==" spinCount="100000" sheet="1" objects="1" scenarios="1"/>
  <dataValidations disablePrompts="1" count="3">
    <dataValidation allowBlank="1" showInputMessage="1" showErrorMessage="1" prompt="Enter date of the last Business Case update" sqref="B32:B33"/>
    <dataValidation allowBlank="1" showInputMessage="1" showErrorMessage="1" prompt="Enter full name of person who updated the Business Case" sqref="C32:C33"/>
    <dataValidation allowBlank="1" showInputMessage="1" showErrorMessage="1" prompt="Provide short description of what has been changed in the Business case, short summary of reason and who has validated the change (if relevant)." sqref="D32:D33"/>
  </dataValidations>
  <printOptions horizontalCentered="1"/>
  <pageMargins left="0.7" right="0.7" top="0.75" bottom="0.75" header="0.3" footer="0.3"/>
  <pageSetup paperSize="9" orientation="landscape" r:id="rId1"/>
  <headerFooter>
    <oddFooter>&amp;L&amp;D&amp;C&amp;F - &amp;A&amp;R&amp;P/&amp;N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19"/>
  <sheetViews>
    <sheetView showGridLines="0" showRowColHeaders="0" workbookViewId="0"/>
  </sheetViews>
  <sheetFormatPr defaultRowHeight="15"/>
  <cols>
    <col min="1" max="1" width="14.140625" style="3" customWidth="1"/>
    <col min="2" max="2" width="12.7109375" style="3" customWidth="1"/>
    <col min="3" max="3" width="49" style="3" customWidth="1"/>
    <col min="4" max="4" width="22.140625" style="3" customWidth="1"/>
    <col min="5" max="5" width="52.28515625" style="3" customWidth="1"/>
    <col min="6" max="16384" width="9.140625" style="3"/>
  </cols>
  <sheetData>
    <row r="1" spans="1:5">
      <c r="A1" s="8" t="s">
        <v>7</v>
      </c>
      <c r="B1" s="9" t="s">
        <v>8</v>
      </c>
      <c r="C1" s="10" t="s">
        <v>10</v>
      </c>
      <c r="D1" s="10" t="s">
        <v>9</v>
      </c>
      <c r="E1" s="11" t="s">
        <v>13</v>
      </c>
    </row>
    <row r="2" spans="1:5">
      <c r="A2" s="7" t="s">
        <v>17</v>
      </c>
      <c r="B2" s="6">
        <v>41295</v>
      </c>
      <c r="C2" s="2" t="s">
        <v>14</v>
      </c>
      <c r="D2" s="2" t="s">
        <v>11</v>
      </c>
      <c r="E2" s="4" t="s">
        <v>208</v>
      </c>
    </row>
    <row r="3" spans="1:5">
      <c r="A3" s="7" t="s">
        <v>18</v>
      </c>
      <c r="B3" s="6">
        <v>41296</v>
      </c>
      <c r="C3" s="2" t="s">
        <v>15</v>
      </c>
      <c r="D3" s="2" t="s">
        <v>11</v>
      </c>
      <c r="E3" s="4" t="s">
        <v>208</v>
      </c>
    </row>
    <row r="4" spans="1:5">
      <c r="A4" s="7" t="s">
        <v>19</v>
      </c>
      <c r="B4" s="6">
        <v>41301</v>
      </c>
      <c r="C4" s="2" t="s">
        <v>20</v>
      </c>
      <c r="D4" s="2" t="s">
        <v>11</v>
      </c>
      <c r="E4" s="4" t="s">
        <v>208</v>
      </c>
    </row>
    <row r="5" spans="1:5">
      <c r="A5" s="7" t="s">
        <v>24</v>
      </c>
      <c r="B5" s="6">
        <v>41304</v>
      </c>
      <c r="C5" s="2" t="s">
        <v>25</v>
      </c>
      <c r="D5" s="2" t="s">
        <v>11</v>
      </c>
      <c r="E5" s="4" t="s">
        <v>208</v>
      </c>
    </row>
    <row r="6" spans="1:5" ht="30">
      <c r="A6" s="7" t="s">
        <v>26</v>
      </c>
      <c r="B6" s="6">
        <v>41308</v>
      </c>
      <c r="C6" s="2" t="s">
        <v>27</v>
      </c>
      <c r="D6" s="2" t="s">
        <v>11</v>
      </c>
      <c r="E6" s="4" t="s">
        <v>208</v>
      </c>
    </row>
    <row r="7" spans="1:5" ht="30">
      <c r="A7" s="7" t="s">
        <v>28</v>
      </c>
      <c r="B7" s="6">
        <v>41309</v>
      </c>
      <c r="C7" s="2" t="s">
        <v>29</v>
      </c>
      <c r="D7" s="2" t="s">
        <v>11</v>
      </c>
      <c r="E7" s="4" t="s">
        <v>208</v>
      </c>
    </row>
    <row r="8" spans="1:5">
      <c r="A8" s="7" t="s">
        <v>30</v>
      </c>
      <c r="B8" s="6">
        <v>41311</v>
      </c>
      <c r="C8" s="2" t="s">
        <v>31</v>
      </c>
      <c r="D8" s="2" t="s">
        <v>11</v>
      </c>
      <c r="E8" s="4" t="s">
        <v>208</v>
      </c>
    </row>
    <row r="9" spans="1:5" ht="31.5" customHeight="1">
      <c r="A9" s="12" t="s">
        <v>34</v>
      </c>
      <c r="B9" s="13">
        <v>41330</v>
      </c>
      <c r="C9" s="14" t="s">
        <v>209</v>
      </c>
      <c r="D9" s="14" t="s">
        <v>11</v>
      </c>
      <c r="E9" s="4" t="s">
        <v>208</v>
      </c>
    </row>
    <row r="10" spans="1:5" ht="45">
      <c r="A10" s="12" t="s">
        <v>35</v>
      </c>
      <c r="B10" s="13">
        <v>41333</v>
      </c>
      <c r="C10" s="14" t="s">
        <v>44</v>
      </c>
      <c r="D10" s="14" t="s">
        <v>11</v>
      </c>
      <c r="E10" s="4" t="s">
        <v>208</v>
      </c>
    </row>
    <row r="11" spans="1:5" ht="60">
      <c r="A11" s="12" t="s">
        <v>45</v>
      </c>
      <c r="B11" s="13">
        <v>41334</v>
      </c>
      <c r="C11" s="2" t="s">
        <v>206</v>
      </c>
      <c r="D11" s="2" t="s">
        <v>11</v>
      </c>
      <c r="E11" s="4" t="s">
        <v>208</v>
      </c>
    </row>
    <row r="12" spans="1:5" ht="60">
      <c r="A12" s="18" t="s">
        <v>207</v>
      </c>
      <c r="B12" s="13">
        <v>41340</v>
      </c>
      <c r="C12" s="14" t="s">
        <v>216</v>
      </c>
      <c r="D12" s="14" t="s">
        <v>11</v>
      </c>
      <c r="E12" s="4" t="s">
        <v>208</v>
      </c>
    </row>
    <row r="13" spans="1:5" ht="30">
      <c r="A13" s="18" t="s">
        <v>217</v>
      </c>
      <c r="B13" s="13">
        <v>41341</v>
      </c>
      <c r="C13" s="14" t="s">
        <v>218</v>
      </c>
      <c r="D13" s="14" t="s">
        <v>11</v>
      </c>
      <c r="E13" s="4" t="s">
        <v>208</v>
      </c>
    </row>
    <row r="14" spans="1:5" ht="45">
      <c r="A14" s="18" t="s">
        <v>219</v>
      </c>
      <c r="B14" s="19">
        <v>41345</v>
      </c>
      <c r="C14" s="14" t="s">
        <v>221</v>
      </c>
      <c r="D14" s="14" t="s">
        <v>11</v>
      </c>
      <c r="E14" s="4" t="s">
        <v>208</v>
      </c>
    </row>
    <row r="15" spans="1:5" ht="45">
      <c r="A15" s="18" t="s">
        <v>222</v>
      </c>
      <c r="B15" s="19">
        <v>41345</v>
      </c>
      <c r="C15" s="14" t="s">
        <v>224</v>
      </c>
      <c r="D15" s="14" t="s">
        <v>11</v>
      </c>
      <c r="E15" s="4" t="s">
        <v>208</v>
      </c>
    </row>
    <row r="16" spans="1:5" ht="30">
      <c r="A16" s="18" t="s">
        <v>225</v>
      </c>
      <c r="B16" s="13">
        <v>41352</v>
      </c>
      <c r="C16" s="14" t="s">
        <v>226</v>
      </c>
      <c r="D16" s="14" t="s">
        <v>11</v>
      </c>
      <c r="E16" s="4" t="s">
        <v>208</v>
      </c>
    </row>
    <row r="17" spans="1:5">
      <c r="A17" s="18" t="s">
        <v>227</v>
      </c>
      <c r="B17" s="13">
        <v>41353</v>
      </c>
      <c r="C17" s="14" t="s">
        <v>228</v>
      </c>
      <c r="D17" s="14" t="s">
        <v>11</v>
      </c>
      <c r="E17" s="4" t="s">
        <v>208</v>
      </c>
    </row>
    <row r="18" spans="1:5" ht="30">
      <c r="A18" s="18" t="s">
        <v>229</v>
      </c>
      <c r="B18" s="13">
        <v>41411</v>
      </c>
      <c r="C18" s="14" t="s">
        <v>230</v>
      </c>
      <c r="D18" s="14" t="s">
        <v>231</v>
      </c>
      <c r="E18" s="20" t="s">
        <v>232</v>
      </c>
    </row>
    <row r="19" spans="1:5" ht="15.75" thickBot="1">
      <c r="A19" s="15" t="s">
        <v>233</v>
      </c>
      <c r="B19" s="5">
        <v>42041</v>
      </c>
      <c r="C19" s="15" t="s">
        <v>234</v>
      </c>
      <c r="D19" s="15" t="s">
        <v>231</v>
      </c>
      <c r="E19" s="17"/>
    </row>
  </sheetData>
  <sheetProtection select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62"/>
  <sheetViews>
    <sheetView topLeftCell="AC1" workbookViewId="0">
      <selection activeCell="AG9" sqref="AG9"/>
    </sheetView>
  </sheetViews>
  <sheetFormatPr defaultRowHeight="15"/>
  <cols>
    <col min="1" max="1" width="65.85546875" style="16" bestFit="1" customWidth="1"/>
    <col min="2" max="2" width="9.85546875" style="16" bestFit="1" customWidth="1"/>
    <col min="3" max="3" width="10" style="16" bestFit="1" customWidth="1"/>
    <col min="4" max="4" width="16.28515625" style="16" customWidth="1"/>
    <col min="5" max="5" width="39.85546875" style="16" customWidth="1"/>
    <col min="6" max="6" width="19.7109375" style="16" bestFit="1" customWidth="1"/>
    <col min="7" max="7" width="10.7109375" style="16" customWidth="1"/>
    <col min="8" max="8" width="10.85546875" style="16" customWidth="1"/>
    <col min="9" max="9" width="12.85546875" style="16" customWidth="1"/>
    <col min="10" max="10" width="11" style="16" bestFit="1" customWidth="1"/>
    <col min="11" max="11" width="4.140625" style="16" customWidth="1"/>
    <col min="12" max="12" width="4.5703125" style="16" customWidth="1"/>
    <col min="13" max="13" width="18.5703125" style="16" customWidth="1"/>
    <col min="14" max="14" width="9.140625" style="16" customWidth="1"/>
    <col min="15" max="15" width="29.7109375" style="16" customWidth="1"/>
    <col min="16" max="16" width="27.28515625" style="16" bestFit="1" customWidth="1"/>
    <col min="17" max="17" width="39.7109375" style="16" bestFit="1" customWidth="1"/>
    <col min="18" max="18" width="17.7109375" style="16" bestFit="1" customWidth="1"/>
    <col min="19" max="19" width="21.85546875" style="16" bestFit="1" customWidth="1"/>
    <col min="20" max="20" width="30.42578125" style="16" bestFit="1" customWidth="1"/>
    <col min="21" max="21" width="20" style="16" bestFit="1" customWidth="1"/>
    <col min="22" max="22" width="17.5703125" style="16" bestFit="1" customWidth="1"/>
    <col min="23" max="23" width="13.7109375" style="16" bestFit="1" customWidth="1"/>
    <col min="24" max="24" width="12.85546875" style="16" customWidth="1"/>
    <col min="25" max="25" width="20.5703125" style="16" bestFit="1" customWidth="1"/>
    <col min="26" max="26" width="16" style="16" bestFit="1" customWidth="1"/>
    <col min="27" max="27" width="20.7109375" style="16" bestFit="1" customWidth="1"/>
    <col min="28" max="28" width="32.5703125" style="16" bestFit="1" customWidth="1"/>
    <col min="29" max="29" width="15.140625" style="16" bestFit="1" customWidth="1"/>
    <col min="30" max="30" width="16.42578125" style="16" bestFit="1" customWidth="1"/>
    <col min="31" max="31" width="67.5703125" style="16" bestFit="1" customWidth="1"/>
    <col min="32" max="32" width="18.85546875" style="16" bestFit="1" customWidth="1"/>
    <col min="33" max="33" width="32.42578125" style="16" bestFit="1" customWidth="1"/>
    <col min="34" max="16384" width="9.140625" style="16"/>
  </cols>
  <sheetData>
    <row r="1" spans="1:33">
      <c r="A1" s="16" t="s">
        <v>0</v>
      </c>
      <c r="B1" s="16" t="s">
        <v>12</v>
      </c>
      <c r="C1" s="16" t="s">
        <v>1</v>
      </c>
      <c r="D1" s="16" t="s">
        <v>21</v>
      </c>
      <c r="E1" s="53" t="s">
        <v>211</v>
      </c>
      <c r="F1" s="48" t="s">
        <v>251</v>
      </c>
      <c r="G1" s="48" t="s">
        <v>210</v>
      </c>
      <c r="H1" s="54"/>
      <c r="I1" s="46"/>
      <c r="J1" s="46"/>
      <c r="K1" s="1"/>
      <c r="L1" s="47"/>
      <c r="M1" s="36" t="s">
        <v>36</v>
      </c>
      <c r="N1" s="36" t="s">
        <v>33</v>
      </c>
      <c r="O1" s="36" t="s">
        <v>236</v>
      </c>
      <c r="P1" s="36" t="s">
        <v>238</v>
      </c>
      <c r="Q1" s="36" t="s">
        <v>241</v>
      </c>
      <c r="R1" s="36" t="s">
        <v>237</v>
      </c>
      <c r="S1" s="36" t="s">
        <v>239</v>
      </c>
      <c r="T1" s="36" t="s">
        <v>326</v>
      </c>
      <c r="U1" s="36" t="s">
        <v>223</v>
      </c>
      <c r="V1" s="36" t="s">
        <v>247</v>
      </c>
      <c r="W1" s="46" t="s">
        <v>244</v>
      </c>
      <c r="X1" s="65" t="s">
        <v>268</v>
      </c>
      <c r="Y1" s="28" t="s">
        <v>273</v>
      </c>
      <c r="Z1" s="28" t="s">
        <v>292</v>
      </c>
      <c r="AA1" s="28" t="s">
        <v>303</v>
      </c>
      <c r="AB1" s="66" t="s">
        <v>297</v>
      </c>
      <c r="AC1" s="67" t="s">
        <v>302</v>
      </c>
      <c r="AD1" s="28" t="s">
        <v>308</v>
      </c>
      <c r="AE1" s="28" t="s">
        <v>309</v>
      </c>
      <c r="AF1" s="67" t="s">
        <v>322</v>
      </c>
      <c r="AG1" s="67" t="s">
        <v>403</v>
      </c>
    </row>
    <row r="2" spans="1:33">
      <c r="A2" s="16" t="s">
        <v>41</v>
      </c>
      <c r="B2" s="16" t="s">
        <v>2</v>
      </c>
      <c r="C2" s="16" t="s">
        <v>2</v>
      </c>
      <c r="D2" s="16" t="s">
        <v>39</v>
      </c>
      <c r="E2" s="53" t="s">
        <v>220</v>
      </c>
      <c r="F2" s="16" t="s">
        <v>262</v>
      </c>
      <c r="G2" s="16" t="s">
        <v>252</v>
      </c>
      <c r="H2" s="53"/>
      <c r="K2" s="1"/>
      <c r="L2" s="47"/>
      <c r="M2" s="16" t="s">
        <v>46</v>
      </c>
      <c r="N2" s="16">
        <v>2016</v>
      </c>
      <c r="O2" s="16" t="s">
        <v>246</v>
      </c>
      <c r="P2" s="16" t="str">
        <f>"Annual Cashable Benefit in Thousands of "&amp;RIGHT('Preliminary Information'!$M$34,3)</f>
        <v xml:space="preserve">Annual Cashable Benefit in Thousands of </v>
      </c>
      <c r="Q2" s="16" t="str">
        <f>"Total Cashable Benefit in Thousands of "&amp;RIGHT('Preliminary Information'!$M$34,3)</f>
        <v xml:space="preserve">Total Cashable Benefit in Thousands of </v>
      </c>
      <c r="R2" s="37" t="s">
        <v>237</v>
      </c>
      <c r="S2" s="37" t="s">
        <v>239</v>
      </c>
      <c r="T2" s="37" t="s">
        <v>326</v>
      </c>
      <c r="U2" s="37" t="s">
        <v>223</v>
      </c>
      <c r="V2" s="16" t="s">
        <v>245</v>
      </c>
      <c r="W2" s="16" t="str">
        <f>RIGHT('Preliminary Information'!$M$34,3)</f>
        <v/>
      </c>
      <c r="X2" s="63" t="s">
        <v>269</v>
      </c>
      <c r="Y2" s="61" t="s">
        <v>274</v>
      </c>
      <c r="Z2" s="61" t="s">
        <v>286</v>
      </c>
      <c r="AA2" s="61" t="s">
        <v>293</v>
      </c>
      <c r="AB2" s="61" t="s">
        <v>298</v>
      </c>
      <c r="AC2" s="21" t="s">
        <v>2</v>
      </c>
      <c r="AD2" s="61" t="s">
        <v>304</v>
      </c>
      <c r="AE2" s="61" t="s">
        <v>310</v>
      </c>
      <c r="AF2" s="61" t="s">
        <v>323</v>
      </c>
      <c r="AG2" s="62" t="s">
        <v>404</v>
      </c>
    </row>
    <row r="3" spans="1:33">
      <c r="A3" s="16" t="s">
        <v>40</v>
      </c>
      <c r="B3" s="16" t="s">
        <v>3</v>
      </c>
      <c r="C3" s="16" t="s">
        <v>3</v>
      </c>
      <c r="D3" s="16" t="s">
        <v>16</v>
      </c>
      <c r="E3" s="53" t="s">
        <v>213</v>
      </c>
      <c r="F3" s="16" t="s">
        <v>263</v>
      </c>
      <c r="G3" s="16" t="s">
        <v>253</v>
      </c>
      <c r="H3" s="53"/>
      <c r="K3" s="1"/>
      <c r="L3" s="47"/>
      <c r="M3" s="16" t="s">
        <v>47</v>
      </c>
      <c r="N3" s="16">
        <v>2017</v>
      </c>
      <c r="O3" s="16" t="s">
        <v>22</v>
      </c>
      <c r="P3" s="16" t="str">
        <f>"Annual Opportunity Value in Thousands of "&amp;RIGHT('Preliminary Information'!$M$34,3)</f>
        <v xml:space="preserve">Annual Opportunity Value in Thousands of </v>
      </c>
      <c r="Q3" s="16" t="str">
        <f>"Total Opportunity Value in Thousands of "&amp;RIGHT('Preliminary Information'!$M$34,3)</f>
        <v xml:space="preserve">Total Opportunity Value in Thousands of </v>
      </c>
      <c r="R3" s="37" t="s">
        <v>237</v>
      </c>
      <c r="S3" s="37" t="s">
        <v>239</v>
      </c>
      <c r="T3" s="37" t="s">
        <v>326</v>
      </c>
      <c r="U3" s="37" t="s">
        <v>223</v>
      </c>
      <c r="V3" s="16" t="s">
        <v>248</v>
      </c>
      <c r="X3" s="63" t="s">
        <v>270</v>
      </c>
      <c r="Y3" s="61" t="s">
        <v>275</v>
      </c>
      <c r="Z3" s="61" t="s">
        <v>287</v>
      </c>
      <c r="AA3" s="61" t="s">
        <v>294</v>
      </c>
      <c r="AB3" s="61" t="s">
        <v>299</v>
      </c>
      <c r="AC3" s="21" t="s">
        <v>3</v>
      </c>
      <c r="AD3" s="61" t="s">
        <v>305</v>
      </c>
      <c r="AE3" s="61" t="s">
        <v>311</v>
      </c>
      <c r="AF3" s="61" t="s">
        <v>5</v>
      </c>
      <c r="AG3" s="62" t="s">
        <v>405</v>
      </c>
    </row>
    <row r="4" spans="1:33">
      <c r="A4" s="16" t="s">
        <v>42</v>
      </c>
      <c r="D4" s="16" t="s">
        <v>6</v>
      </c>
      <c r="E4" s="53" t="s">
        <v>215</v>
      </c>
      <c r="F4" s="16" t="s">
        <v>264</v>
      </c>
      <c r="G4" s="16" t="s">
        <v>254</v>
      </c>
      <c r="H4" s="53"/>
      <c r="K4" s="1"/>
      <c r="L4" s="47"/>
      <c r="M4" s="16" t="s">
        <v>48</v>
      </c>
      <c r="N4" s="16">
        <v>2018</v>
      </c>
      <c r="O4" s="16" t="s">
        <v>23</v>
      </c>
      <c r="P4" s="16" t="s">
        <v>242</v>
      </c>
      <c r="Q4" s="16" t="s">
        <v>241</v>
      </c>
      <c r="R4" s="37" t="s">
        <v>237</v>
      </c>
      <c r="S4" s="37" t="s">
        <v>239</v>
      </c>
      <c r="T4" s="37" t="s">
        <v>326</v>
      </c>
      <c r="U4" s="37" t="s">
        <v>223</v>
      </c>
      <c r="V4" s="16" t="s">
        <v>249</v>
      </c>
      <c r="X4" s="63" t="s">
        <v>271</v>
      </c>
      <c r="Y4" s="61" t="s">
        <v>276</v>
      </c>
      <c r="Z4" s="61" t="s">
        <v>288</v>
      </c>
      <c r="AA4" s="61" t="s">
        <v>295</v>
      </c>
      <c r="AB4" s="61" t="s">
        <v>300</v>
      </c>
      <c r="AC4" s="61"/>
      <c r="AD4" s="61" t="s">
        <v>306</v>
      </c>
      <c r="AE4" s="61" t="s">
        <v>312</v>
      </c>
      <c r="AF4" s="61" t="s">
        <v>324</v>
      </c>
      <c r="AG4" s="62" t="s">
        <v>460</v>
      </c>
    </row>
    <row r="5" spans="1:33">
      <c r="A5" s="16" t="s">
        <v>43</v>
      </c>
      <c r="D5" s="16" t="s">
        <v>37</v>
      </c>
      <c r="E5" s="53" t="s">
        <v>214</v>
      </c>
      <c r="F5" s="16" t="s">
        <v>265</v>
      </c>
      <c r="G5" s="16" t="s">
        <v>255</v>
      </c>
      <c r="H5" s="53"/>
      <c r="M5" s="16" t="s">
        <v>49</v>
      </c>
      <c r="N5" s="16">
        <v>2019</v>
      </c>
      <c r="O5" s="16" t="s">
        <v>32</v>
      </c>
      <c r="P5" s="37" t="s">
        <v>240</v>
      </c>
      <c r="Q5" s="37" t="s">
        <v>241</v>
      </c>
      <c r="R5" s="37" t="s">
        <v>240</v>
      </c>
      <c r="S5" s="37" t="s">
        <v>240</v>
      </c>
      <c r="T5" s="37" t="s">
        <v>240</v>
      </c>
      <c r="U5" s="37" t="s">
        <v>240</v>
      </c>
      <c r="V5" s="16" t="s">
        <v>250</v>
      </c>
      <c r="X5" s="64" t="s">
        <v>272</v>
      </c>
      <c r="Y5" s="61" t="s">
        <v>277</v>
      </c>
      <c r="Z5" s="61" t="s">
        <v>289</v>
      </c>
      <c r="AA5" s="61" t="s">
        <v>296</v>
      </c>
      <c r="AB5" s="61" t="s">
        <v>301</v>
      </c>
      <c r="AC5" s="61"/>
      <c r="AD5" s="61" t="s">
        <v>307</v>
      </c>
      <c r="AE5" s="21" t="s">
        <v>313</v>
      </c>
      <c r="AF5" s="61"/>
      <c r="AG5" s="62" t="s">
        <v>461</v>
      </c>
    </row>
    <row r="6" spans="1:33">
      <c r="D6" s="16" t="s">
        <v>38</v>
      </c>
      <c r="E6" s="53" t="s">
        <v>212</v>
      </c>
      <c r="G6" s="16" t="s">
        <v>256</v>
      </c>
      <c r="H6" s="53"/>
      <c r="M6" s="16" t="s">
        <v>50</v>
      </c>
      <c r="N6" s="16">
        <v>2020</v>
      </c>
      <c r="X6" s="63"/>
      <c r="Y6" s="61" t="s">
        <v>278</v>
      </c>
      <c r="Z6" s="61" t="s">
        <v>290</v>
      </c>
      <c r="AA6" s="61"/>
      <c r="AB6" s="61"/>
      <c r="AC6" s="61"/>
      <c r="AD6" s="61"/>
      <c r="AE6" s="61" t="s">
        <v>314</v>
      </c>
      <c r="AF6" s="61"/>
      <c r="AG6" s="62" t="s">
        <v>458</v>
      </c>
    </row>
    <row r="7" spans="1:33">
      <c r="G7" s="16" t="s">
        <v>257</v>
      </c>
      <c r="H7" s="53"/>
      <c r="M7" s="16" t="s">
        <v>51</v>
      </c>
      <c r="N7" s="16">
        <v>2021</v>
      </c>
      <c r="X7" s="63"/>
      <c r="Y7" s="61" t="s">
        <v>279</v>
      </c>
      <c r="Z7" s="61" t="s">
        <v>291</v>
      </c>
      <c r="AA7" s="61"/>
      <c r="AB7" s="61"/>
      <c r="AC7" s="61"/>
      <c r="AD7" s="61"/>
      <c r="AE7" s="21" t="s">
        <v>315</v>
      </c>
      <c r="AF7" s="61"/>
      <c r="AG7" s="62" t="s">
        <v>462</v>
      </c>
    </row>
    <row r="8" spans="1:33">
      <c r="H8" s="53"/>
      <c r="M8" s="16" t="s">
        <v>52</v>
      </c>
      <c r="N8" s="16">
        <v>2022</v>
      </c>
      <c r="X8" s="63"/>
      <c r="Y8" s="61" t="s">
        <v>280</v>
      </c>
      <c r="Z8" s="61"/>
      <c r="AA8" s="61"/>
      <c r="AB8" s="61"/>
      <c r="AC8" s="61"/>
      <c r="AD8" s="61"/>
      <c r="AE8" s="61" t="s">
        <v>316</v>
      </c>
      <c r="AF8" s="61"/>
      <c r="AG8" s="62" t="s">
        <v>406</v>
      </c>
    </row>
    <row r="9" spans="1:33">
      <c r="H9" s="53"/>
      <c r="M9" s="16" t="s">
        <v>53</v>
      </c>
      <c r="X9" s="63"/>
      <c r="Y9" s="61" t="s">
        <v>281</v>
      </c>
      <c r="Z9" s="61"/>
      <c r="AA9" s="61"/>
      <c r="AB9" s="61"/>
      <c r="AC9" s="61"/>
      <c r="AD9" s="61"/>
      <c r="AE9" s="61" t="s">
        <v>317</v>
      </c>
      <c r="AF9" s="61"/>
      <c r="AG9" s="62" t="s">
        <v>407</v>
      </c>
    </row>
    <row r="10" spans="1:33">
      <c r="H10" s="53"/>
      <c r="M10" s="16" t="s">
        <v>54</v>
      </c>
      <c r="X10" s="63"/>
      <c r="Y10" s="61" t="s">
        <v>282</v>
      </c>
      <c r="Z10" s="61"/>
      <c r="AA10" s="61"/>
      <c r="AB10" s="61"/>
      <c r="AC10" s="61"/>
      <c r="AD10" s="61"/>
      <c r="AE10" s="61" t="s">
        <v>318</v>
      </c>
      <c r="AF10" s="61"/>
      <c r="AG10" s="21" t="s">
        <v>457</v>
      </c>
    </row>
    <row r="11" spans="1:33">
      <c r="F11" s="16" t="s">
        <v>210</v>
      </c>
      <c r="M11" s="16" t="s">
        <v>55</v>
      </c>
      <c r="X11" s="63"/>
      <c r="Y11" s="61" t="s">
        <v>235</v>
      </c>
      <c r="Z11" s="61"/>
      <c r="AA11" s="61"/>
      <c r="AB11" s="61"/>
      <c r="AC11" s="61"/>
      <c r="AD11" s="61"/>
      <c r="AE11" s="61" t="s">
        <v>319</v>
      </c>
      <c r="AF11" s="61"/>
      <c r="AG11" s="62" t="s">
        <v>408</v>
      </c>
    </row>
    <row r="12" spans="1:33" ht="18">
      <c r="F12" s="16" t="s">
        <v>252</v>
      </c>
      <c r="G12" s="58"/>
      <c r="H12" s="57"/>
      <c r="I12" s="57"/>
      <c r="J12" s="57"/>
      <c r="M12" s="16" t="s">
        <v>56</v>
      </c>
      <c r="X12" s="63"/>
      <c r="Y12" s="61" t="s">
        <v>283</v>
      </c>
      <c r="Z12" s="61"/>
      <c r="AA12" s="61"/>
      <c r="AB12" s="61"/>
      <c r="AC12" s="61"/>
      <c r="AD12" s="61"/>
      <c r="AE12" s="61" t="s">
        <v>320</v>
      </c>
      <c r="AF12" s="61"/>
      <c r="AG12" s="62" t="s">
        <v>409</v>
      </c>
    </row>
    <row r="13" spans="1:33" ht="18">
      <c r="F13" s="16" t="s">
        <v>253</v>
      </c>
      <c r="G13" s="58"/>
      <c r="H13" s="58"/>
      <c r="I13" s="57"/>
      <c r="J13" s="57"/>
      <c r="M13" s="16" t="s">
        <v>57</v>
      </c>
      <c r="X13" s="63"/>
      <c r="Y13" s="61" t="s">
        <v>284</v>
      </c>
      <c r="Z13" s="61"/>
      <c r="AA13" s="61"/>
      <c r="AB13" s="61"/>
      <c r="AC13" s="61"/>
      <c r="AD13" s="61"/>
      <c r="AE13" s="21" t="s">
        <v>321</v>
      </c>
      <c r="AF13" s="61"/>
      <c r="AG13" s="62" t="s">
        <v>410</v>
      </c>
    </row>
    <row r="14" spans="1:33" ht="18">
      <c r="F14" s="16" t="s">
        <v>254</v>
      </c>
      <c r="G14" s="56"/>
      <c r="H14" s="58"/>
      <c r="I14" s="57"/>
      <c r="J14" s="57"/>
      <c r="M14" s="16" t="s">
        <v>58</v>
      </c>
      <c r="X14" s="63"/>
      <c r="Y14" s="61" t="s">
        <v>285</v>
      </c>
      <c r="Z14" s="61"/>
      <c r="AA14" s="61"/>
      <c r="AB14" s="61"/>
      <c r="AC14" s="61"/>
      <c r="AD14" s="61"/>
      <c r="AE14" s="61"/>
      <c r="AF14" s="61"/>
      <c r="AG14" s="62" t="s">
        <v>459</v>
      </c>
    </row>
    <row r="15" spans="1:33" ht="18">
      <c r="F15" s="16" t="s">
        <v>255</v>
      </c>
      <c r="G15" s="59"/>
      <c r="H15" s="58"/>
      <c r="I15" s="58"/>
      <c r="J15" s="57"/>
      <c r="M15" s="16" t="s">
        <v>59</v>
      </c>
      <c r="X15" s="63"/>
      <c r="Y15" s="21" t="s">
        <v>324</v>
      </c>
      <c r="Z15" s="61"/>
      <c r="AA15" s="61"/>
      <c r="AB15" s="61"/>
      <c r="AC15" s="61"/>
      <c r="AD15" s="61"/>
      <c r="AE15" s="61"/>
      <c r="AF15" s="61"/>
      <c r="AG15" s="62" t="s">
        <v>411</v>
      </c>
    </row>
    <row r="16" spans="1:33" ht="18">
      <c r="F16" s="16" t="s">
        <v>256</v>
      </c>
      <c r="G16" s="59"/>
      <c r="H16" s="59"/>
      <c r="I16" s="58"/>
      <c r="J16" s="58"/>
      <c r="M16" s="16" t="s">
        <v>60</v>
      </c>
      <c r="X16" s="63"/>
      <c r="Y16" s="21" t="s">
        <v>369</v>
      </c>
      <c r="Z16" s="68"/>
      <c r="AA16" s="68"/>
      <c r="AB16" s="68"/>
      <c r="AC16" s="68"/>
      <c r="AD16" s="68"/>
      <c r="AE16" s="68"/>
      <c r="AF16" s="68"/>
      <c r="AG16" s="62" t="s">
        <v>412</v>
      </c>
    </row>
    <row r="17" spans="6:33" ht="18">
      <c r="F17" s="16" t="s">
        <v>257</v>
      </c>
      <c r="G17" s="59"/>
      <c r="H17" s="59"/>
      <c r="I17" s="59"/>
      <c r="J17" s="58"/>
      <c r="M17" s="16" t="s">
        <v>61</v>
      </c>
      <c r="X17" s="63"/>
      <c r="Y17" s="21"/>
      <c r="Z17" s="78"/>
      <c r="AA17" s="78"/>
      <c r="AB17" s="78"/>
      <c r="AC17" s="78"/>
      <c r="AD17" s="78"/>
      <c r="AE17" s="78"/>
      <c r="AF17" s="78"/>
      <c r="AG17" s="62" t="s">
        <v>413</v>
      </c>
    </row>
    <row r="18" spans="6:33">
      <c r="G18" s="16" t="s">
        <v>258</v>
      </c>
      <c r="H18" s="16" t="s">
        <v>259</v>
      </c>
      <c r="I18" s="16" t="s">
        <v>260</v>
      </c>
      <c r="J18" s="16" t="s">
        <v>261</v>
      </c>
      <c r="M18" s="16" t="s">
        <v>62</v>
      </c>
      <c r="X18" s="200" t="s">
        <v>325</v>
      </c>
      <c r="Y18" s="201"/>
      <c r="Z18" s="201"/>
      <c r="AA18" s="201"/>
      <c r="AB18" s="201"/>
      <c r="AC18" s="201"/>
      <c r="AD18" s="201"/>
      <c r="AE18" s="201"/>
      <c r="AF18" s="202"/>
      <c r="AG18" s="62" t="s">
        <v>414</v>
      </c>
    </row>
    <row r="19" spans="6:33">
      <c r="G19" s="16" t="s">
        <v>251</v>
      </c>
      <c r="M19" s="16" t="s">
        <v>63</v>
      </c>
      <c r="AG19" s="62" t="s">
        <v>415</v>
      </c>
    </row>
    <row r="20" spans="6:33">
      <c r="H20" s="53"/>
      <c r="M20" s="16" t="s">
        <v>64</v>
      </c>
      <c r="AG20" s="62" t="s">
        <v>416</v>
      </c>
    </row>
    <row r="21" spans="6:33">
      <c r="H21" s="53"/>
      <c r="M21" s="16" t="s">
        <v>65</v>
      </c>
      <c r="AG21" s="62" t="s">
        <v>417</v>
      </c>
    </row>
    <row r="22" spans="6:33">
      <c r="M22" s="16" t="s">
        <v>66</v>
      </c>
      <c r="AG22" s="62" t="s">
        <v>418</v>
      </c>
    </row>
    <row r="23" spans="6:33">
      <c r="M23" s="16" t="s">
        <v>67</v>
      </c>
      <c r="AG23" s="62" t="s">
        <v>419</v>
      </c>
    </row>
    <row r="24" spans="6:33">
      <c r="M24" s="16" t="s">
        <v>68</v>
      </c>
      <c r="AG24" s="62" t="s">
        <v>420</v>
      </c>
    </row>
    <row r="25" spans="6:33">
      <c r="M25" s="16" t="s">
        <v>69</v>
      </c>
      <c r="AG25" s="62" t="s">
        <v>421</v>
      </c>
    </row>
    <row r="26" spans="6:33">
      <c r="M26" s="16" t="s">
        <v>70</v>
      </c>
      <c r="AG26" s="62" t="s">
        <v>422</v>
      </c>
    </row>
    <row r="27" spans="6:33">
      <c r="M27" s="16" t="s">
        <v>71</v>
      </c>
      <c r="AG27" s="62" t="s">
        <v>423</v>
      </c>
    </row>
    <row r="28" spans="6:33">
      <c r="M28" s="16" t="s">
        <v>72</v>
      </c>
      <c r="AG28" s="62" t="s">
        <v>424</v>
      </c>
    </row>
    <row r="29" spans="6:33">
      <c r="M29" s="16" t="s">
        <v>73</v>
      </c>
      <c r="AG29" s="62" t="s">
        <v>425</v>
      </c>
    </row>
    <row r="30" spans="6:33">
      <c r="M30" s="16" t="s">
        <v>74</v>
      </c>
      <c r="AG30" s="62" t="s">
        <v>426</v>
      </c>
    </row>
    <row r="31" spans="6:33" ht="15" customHeight="1">
      <c r="M31" s="16" t="s">
        <v>75</v>
      </c>
      <c r="AG31" s="62" t="s">
        <v>427</v>
      </c>
    </row>
    <row r="32" spans="6:33">
      <c r="M32" s="16" t="s">
        <v>76</v>
      </c>
      <c r="AG32" s="62" t="s">
        <v>428</v>
      </c>
    </row>
    <row r="33" spans="13:33">
      <c r="M33" s="16" t="s">
        <v>77</v>
      </c>
      <c r="AG33" s="62" t="s">
        <v>429</v>
      </c>
    </row>
    <row r="34" spans="13:33">
      <c r="M34" s="16" t="s">
        <v>78</v>
      </c>
      <c r="AG34" s="62" t="s">
        <v>430</v>
      </c>
    </row>
    <row r="35" spans="13:33">
      <c r="M35" s="16" t="s">
        <v>79</v>
      </c>
      <c r="AG35" s="62" t="s">
        <v>431</v>
      </c>
    </row>
    <row r="36" spans="13:33">
      <c r="M36" s="16" t="s">
        <v>80</v>
      </c>
      <c r="AG36" s="62" t="s">
        <v>432</v>
      </c>
    </row>
    <row r="37" spans="13:33">
      <c r="M37" s="16" t="s">
        <v>81</v>
      </c>
      <c r="AG37" s="62" t="s">
        <v>433</v>
      </c>
    </row>
    <row r="38" spans="13:33">
      <c r="M38" s="16" t="s">
        <v>82</v>
      </c>
      <c r="AG38" s="62" t="s">
        <v>434</v>
      </c>
    </row>
    <row r="39" spans="13:33">
      <c r="M39" s="16" t="s">
        <v>83</v>
      </c>
      <c r="AG39" s="62" t="s">
        <v>435</v>
      </c>
    </row>
    <row r="40" spans="13:33">
      <c r="M40" s="16" t="s">
        <v>84</v>
      </c>
      <c r="AG40" s="62" t="s">
        <v>436</v>
      </c>
    </row>
    <row r="41" spans="13:33">
      <c r="M41" s="16" t="s">
        <v>85</v>
      </c>
      <c r="AG41" s="62" t="s">
        <v>437</v>
      </c>
    </row>
    <row r="42" spans="13:33">
      <c r="M42" s="16" t="s">
        <v>86</v>
      </c>
      <c r="AG42" s="62" t="s">
        <v>438</v>
      </c>
    </row>
    <row r="43" spans="13:33">
      <c r="M43" s="16" t="s">
        <v>87</v>
      </c>
      <c r="AG43" s="62" t="s">
        <v>439</v>
      </c>
    </row>
    <row r="44" spans="13:33">
      <c r="M44" s="16" t="s">
        <v>88</v>
      </c>
      <c r="AG44" s="62" t="s">
        <v>440</v>
      </c>
    </row>
    <row r="45" spans="13:33">
      <c r="M45" s="16" t="s">
        <v>89</v>
      </c>
      <c r="AG45" s="62" t="s">
        <v>441</v>
      </c>
    </row>
    <row r="46" spans="13:33">
      <c r="M46" s="16" t="s">
        <v>90</v>
      </c>
      <c r="AG46" s="62" t="s">
        <v>442</v>
      </c>
    </row>
    <row r="47" spans="13:33">
      <c r="M47" s="16" t="s">
        <v>91</v>
      </c>
      <c r="AG47" s="62" t="s">
        <v>443</v>
      </c>
    </row>
    <row r="48" spans="13:33">
      <c r="M48" s="16" t="s">
        <v>92</v>
      </c>
      <c r="AG48" s="62" t="s">
        <v>444</v>
      </c>
    </row>
    <row r="49" spans="13:33">
      <c r="M49" s="16" t="s">
        <v>93</v>
      </c>
      <c r="AG49" s="62" t="s">
        <v>445</v>
      </c>
    </row>
    <row r="50" spans="13:33">
      <c r="M50" s="16" t="s">
        <v>94</v>
      </c>
      <c r="AG50" s="62" t="s">
        <v>446</v>
      </c>
    </row>
    <row r="51" spans="13:33">
      <c r="M51" s="16" t="s">
        <v>95</v>
      </c>
      <c r="AG51" s="62" t="s">
        <v>447</v>
      </c>
    </row>
    <row r="52" spans="13:33">
      <c r="M52" s="16" t="s">
        <v>96</v>
      </c>
      <c r="AG52" s="62" t="s">
        <v>448</v>
      </c>
    </row>
    <row r="53" spans="13:33">
      <c r="M53" s="16" t="s">
        <v>97</v>
      </c>
      <c r="AG53" s="62" t="s">
        <v>449</v>
      </c>
    </row>
    <row r="54" spans="13:33">
      <c r="M54" s="16" t="s">
        <v>98</v>
      </c>
      <c r="AG54" s="96" t="s">
        <v>324</v>
      </c>
    </row>
    <row r="55" spans="13:33">
      <c r="M55" s="16" t="s">
        <v>99</v>
      </c>
    </row>
    <row r="56" spans="13:33">
      <c r="M56" s="16" t="s">
        <v>100</v>
      </c>
    </row>
    <row r="57" spans="13:33">
      <c r="M57" s="16" t="s">
        <v>101</v>
      </c>
    </row>
    <row r="58" spans="13:33">
      <c r="M58" s="16" t="s">
        <v>102</v>
      </c>
    </row>
    <row r="59" spans="13:33">
      <c r="M59" s="16" t="s">
        <v>103</v>
      </c>
    </row>
    <row r="60" spans="13:33">
      <c r="M60" s="16" t="s">
        <v>104</v>
      </c>
    </row>
    <row r="61" spans="13:33">
      <c r="M61" s="16" t="s">
        <v>105</v>
      </c>
    </row>
    <row r="62" spans="13:33">
      <c r="M62" s="16" t="s">
        <v>106</v>
      </c>
    </row>
    <row r="63" spans="13:33">
      <c r="M63" s="16" t="s">
        <v>107</v>
      </c>
    </row>
    <row r="64" spans="13:33">
      <c r="M64" s="16" t="s">
        <v>108</v>
      </c>
    </row>
    <row r="65" spans="13:13">
      <c r="M65" s="16" t="s">
        <v>109</v>
      </c>
    </row>
    <row r="66" spans="13:13">
      <c r="M66" s="16" t="s">
        <v>110</v>
      </c>
    </row>
    <row r="67" spans="13:13">
      <c r="M67" s="16" t="s">
        <v>111</v>
      </c>
    </row>
    <row r="68" spans="13:13">
      <c r="M68" s="16" t="s">
        <v>112</v>
      </c>
    </row>
    <row r="69" spans="13:13">
      <c r="M69" s="16" t="s">
        <v>113</v>
      </c>
    </row>
    <row r="70" spans="13:13">
      <c r="M70" s="16" t="s">
        <v>114</v>
      </c>
    </row>
    <row r="71" spans="13:13">
      <c r="M71" s="16" t="s">
        <v>115</v>
      </c>
    </row>
    <row r="72" spans="13:13">
      <c r="M72" s="16" t="s">
        <v>116</v>
      </c>
    </row>
    <row r="73" spans="13:13">
      <c r="M73" s="16" t="s">
        <v>117</v>
      </c>
    </row>
    <row r="74" spans="13:13">
      <c r="M74" s="16" t="s">
        <v>118</v>
      </c>
    </row>
    <row r="75" spans="13:13">
      <c r="M75" s="16" t="s">
        <v>119</v>
      </c>
    </row>
    <row r="76" spans="13:13">
      <c r="M76" s="16" t="s">
        <v>120</v>
      </c>
    </row>
    <row r="77" spans="13:13">
      <c r="M77" s="16" t="s">
        <v>121</v>
      </c>
    </row>
    <row r="78" spans="13:13">
      <c r="M78" s="16" t="s">
        <v>122</v>
      </c>
    </row>
    <row r="79" spans="13:13">
      <c r="M79" s="16" t="s">
        <v>123</v>
      </c>
    </row>
    <row r="80" spans="13:13">
      <c r="M80" s="16" t="s">
        <v>124</v>
      </c>
    </row>
    <row r="81" spans="13:13">
      <c r="M81" s="16" t="s">
        <v>125</v>
      </c>
    </row>
    <row r="82" spans="13:13">
      <c r="M82" s="16" t="s">
        <v>126</v>
      </c>
    </row>
    <row r="83" spans="13:13">
      <c r="M83" s="16" t="s">
        <v>127</v>
      </c>
    </row>
    <row r="84" spans="13:13">
      <c r="M84" s="16" t="s">
        <v>128</v>
      </c>
    </row>
    <row r="85" spans="13:13">
      <c r="M85" s="16" t="s">
        <v>129</v>
      </c>
    </row>
    <row r="86" spans="13:13">
      <c r="M86" s="16" t="s">
        <v>130</v>
      </c>
    </row>
    <row r="87" spans="13:13">
      <c r="M87" s="16" t="s">
        <v>266</v>
      </c>
    </row>
    <row r="88" spans="13:13">
      <c r="M88" s="16" t="s">
        <v>131</v>
      </c>
    </row>
    <row r="89" spans="13:13">
      <c r="M89" s="16" t="s">
        <v>132</v>
      </c>
    </row>
    <row r="90" spans="13:13">
      <c r="M90" s="16" t="s">
        <v>133</v>
      </c>
    </row>
    <row r="91" spans="13:13">
      <c r="M91" s="16" t="s">
        <v>134</v>
      </c>
    </row>
    <row r="92" spans="13:13">
      <c r="M92" s="16" t="s">
        <v>135</v>
      </c>
    </row>
    <row r="93" spans="13:13">
      <c r="M93" s="16" t="s">
        <v>136</v>
      </c>
    </row>
    <row r="94" spans="13:13">
      <c r="M94" s="16" t="s">
        <v>137</v>
      </c>
    </row>
    <row r="95" spans="13:13">
      <c r="M95" s="16" t="s">
        <v>138</v>
      </c>
    </row>
    <row r="96" spans="13:13">
      <c r="M96" s="16" t="s">
        <v>139</v>
      </c>
    </row>
    <row r="97" spans="13:13">
      <c r="M97" s="16" t="s">
        <v>140</v>
      </c>
    </row>
    <row r="98" spans="13:13">
      <c r="M98" s="16" t="s">
        <v>141</v>
      </c>
    </row>
    <row r="99" spans="13:13">
      <c r="M99" s="16" t="s">
        <v>142</v>
      </c>
    </row>
    <row r="100" spans="13:13">
      <c r="M100" s="16" t="s">
        <v>143</v>
      </c>
    </row>
    <row r="101" spans="13:13">
      <c r="M101" s="16" t="s">
        <v>144</v>
      </c>
    </row>
    <row r="102" spans="13:13">
      <c r="M102" s="16" t="s">
        <v>145</v>
      </c>
    </row>
    <row r="103" spans="13:13">
      <c r="M103" s="16" t="s">
        <v>146</v>
      </c>
    </row>
    <row r="104" spans="13:13">
      <c r="M104" s="16" t="s">
        <v>147</v>
      </c>
    </row>
    <row r="105" spans="13:13">
      <c r="M105" s="16" t="s">
        <v>148</v>
      </c>
    </row>
    <row r="106" spans="13:13">
      <c r="M106" s="16" t="s">
        <v>149</v>
      </c>
    </row>
    <row r="107" spans="13:13">
      <c r="M107" s="16" t="s">
        <v>150</v>
      </c>
    </row>
    <row r="108" spans="13:13">
      <c r="M108" s="16" t="s">
        <v>151</v>
      </c>
    </row>
    <row r="109" spans="13:13">
      <c r="M109" s="16" t="s">
        <v>152</v>
      </c>
    </row>
    <row r="110" spans="13:13">
      <c r="M110" s="16" t="s">
        <v>153</v>
      </c>
    </row>
    <row r="111" spans="13:13">
      <c r="M111" s="16" t="s">
        <v>154</v>
      </c>
    </row>
    <row r="112" spans="13:13">
      <c r="M112" s="16" t="s">
        <v>155</v>
      </c>
    </row>
    <row r="113" spans="13:13">
      <c r="M113" s="16" t="s">
        <v>156</v>
      </c>
    </row>
    <row r="114" spans="13:13">
      <c r="M114" s="16" t="s">
        <v>157</v>
      </c>
    </row>
    <row r="115" spans="13:13">
      <c r="M115" s="16" t="s">
        <v>158</v>
      </c>
    </row>
    <row r="116" spans="13:13">
      <c r="M116" s="16" t="s">
        <v>159</v>
      </c>
    </row>
    <row r="117" spans="13:13">
      <c r="M117" s="16" t="s">
        <v>160</v>
      </c>
    </row>
    <row r="118" spans="13:13">
      <c r="M118" s="16" t="s">
        <v>161</v>
      </c>
    </row>
    <row r="119" spans="13:13">
      <c r="M119" s="16" t="s">
        <v>162</v>
      </c>
    </row>
    <row r="120" spans="13:13">
      <c r="M120" s="16" t="s">
        <v>163</v>
      </c>
    </row>
    <row r="121" spans="13:13">
      <c r="M121" s="16" t="s">
        <v>164</v>
      </c>
    </row>
    <row r="122" spans="13:13">
      <c r="M122" s="16" t="s">
        <v>165</v>
      </c>
    </row>
    <row r="123" spans="13:13">
      <c r="M123" s="16" t="s">
        <v>166</v>
      </c>
    </row>
    <row r="124" spans="13:13">
      <c r="M124" s="16" t="s">
        <v>167</v>
      </c>
    </row>
    <row r="125" spans="13:13">
      <c r="M125" s="16" t="s">
        <v>168</v>
      </c>
    </row>
    <row r="126" spans="13:13">
      <c r="M126" s="16" t="s">
        <v>169</v>
      </c>
    </row>
    <row r="127" spans="13:13">
      <c r="M127" s="16" t="s">
        <v>170</v>
      </c>
    </row>
    <row r="128" spans="13:13">
      <c r="M128" s="16" t="s">
        <v>171</v>
      </c>
    </row>
    <row r="129" spans="13:13">
      <c r="M129" s="16" t="s">
        <v>172</v>
      </c>
    </row>
    <row r="130" spans="13:13">
      <c r="M130" s="16" t="s">
        <v>173</v>
      </c>
    </row>
    <row r="131" spans="13:13">
      <c r="M131" s="16" t="s">
        <v>174</v>
      </c>
    </row>
    <row r="132" spans="13:13">
      <c r="M132" s="16" t="s">
        <v>175</v>
      </c>
    </row>
    <row r="133" spans="13:13">
      <c r="M133" s="16" t="s">
        <v>176</v>
      </c>
    </row>
    <row r="134" spans="13:13">
      <c r="M134" s="16" t="s">
        <v>177</v>
      </c>
    </row>
    <row r="135" spans="13:13">
      <c r="M135" s="16" t="s">
        <v>178</v>
      </c>
    </row>
    <row r="136" spans="13:13">
      <c r="M136" s="16" t="s">
        <v>179</v>
      </c>
    </row>
    <row r="137" spans="13:13">
      <c r="M137" s="16" t="s">
        <v>180</v>
      </c>
    </row>
    <row r="138" spans="13:13">
      <c r="M138" s="16" t="s">
        <v>181</v>
      </c>
    </row>
    <row r="139" spans="13:13">
      <c r="M139" s="16" t="s">
        <v>182</v>
      </c>
    </row>
    <row r="140" spans="13:13">
      <c r="M140" s="16" t="s">
        <v>183</v>
      </c>
    </row>
    <row r="141" spans="13:13">
      <c r="M141" s="16" t="s">
        <v>184</v>
      </c>
    </row>
    <row r="142" spans="13:13">
      <c r="M142" s="16" t="s">
        <v>185</v>
      </c>
    </row>
    <row r="143" spans="13:13">
      <c r="M143" s="16" t="s">
        <v>186</v>
      </c>
    </row>
    <row r="144" spans="13:13">
      <c r="M144" s="16" t="s">
        <v>187</v>
      </c>
    </row>
    <row r="145" spans="13:13">
      <c r="M145" s="16" t="s">
        <v>188</v>
      </c>
    </row>
    <row r="146" spans="13:13">
      <c r="M146" s="16" t="s">
        <v>189</v>
      </c>
    </row>
    <row r="147" spans="13:13">
      <c r="M147" s="16" t="s">
        <v>190</v>
      </c>
    </row>
    <row r="148" spans="13:13">
      <c r="M148" s="16" t="s">
        <v>191</v>
      </c>
    </row>
    <row r="149" spans="13:13">
      <c r="M149" s="16" t="s">
        <v>192</v>
      </c>
    </row>
    <row r="150" spans="13:13">
      <c r="M150" s="16" t="s">
        <v>193</v>
      </c>
    </row>
    <row r="151" spans="13:13">
      <c r="M151" s="16" t="s">
        <v>194</v>
      </c>
    </row>
    <row r="152" spans="13:13">
      <c r="M152" s="16" t="s">
        <v>195</v>
      </c>
    </row>
    <row r="153" spans="13:13">
      <c r="M153" s="16" t="s">
        <v>196</v>
      </c>
    </row>
    <row r="154" spans="13:13">
      <c r="M154" s="16" t="s">
        <v>197</v>
      </c>
    </row>
    <row r="155" spans="13:13">
      <c r="M155" s="16" t="s">
        <v>198</v>
      </c>
    </row>
    <row r="156" spans="13:13">
      <c r="M156" s="16" t="s">
        <v>199</v>
      </c>
    </row>
    <row r="157" spans="13:13">
      <c r="M157" s="16" t="s">
        <v>200</v>
      </c>
    </row>
    <row r="158" spans="13:13">
      <c r="M158" s="16" t="s">
        <v>201</v>
      </c>
    </row>
    <row r="159" spans="13:13">
      <c r="M159" s="16" t="s">
        <v>202</v>
      </c>
    </row>
    <row r="160" spans="13:13">
      <c r="M160" s="16" t="s">
        <v>203</v>
      </c>
    </row>
    <row r="161" spans="13:13">
      <c r="M161" s="16" t="s">
        <v>204</v>
      </c>
    </row>
    <row r="162" spans="13:13">
      <c r="M162" s="16" t="s">
        <v>205</v>
      </c>
    </row>
  </sheetData>
  <sortState ref="AG2:AG55">
    <sortCondition ref="AG2"/>
  </sortState>
  <mergeCells count="1">
    <mergeCell ref="X18:AF18"/>
  </mergeCells>
  <conditionalFormatting sqref="J2:J10 J20:J21">
    <cfRule type="cellIs" dxfId="2" priority="1" operator="equal">
      <formula>"Low"</formula>
    </cfRule>
    <cfRule type="cellIs" dxfId="1" priority="2" operator="equal">
      <formula>"Medium"</formula>
    </cfRule>
    <cfRule type="cellIs" dxfId="0" priority="3" operator="equal">
      <formula>"High"</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70E934939A4EB428C17F8F1EC6165AB" ma:contentTypeVersion="0" ma:contentTypeDescription="Create a new document." ma:contentTypeScope="" ma:versionID="7bc0b3f709c19038035fa80ca6d8ad35">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4BE3CB2-7D51-46B3-BD44-563E228B56FC}">
  <ds:schemaRefs>
    <ds:schemaRef ds:uri="http://schemas.microsoft.com/sharepoint/v3/contenttype/forms"/>
  </ds:schemaRefs>
</ds:datastoreItem>
</file>

<file path=customXml/itemProps2.xml><?xml version="1.0" encoding="utf-8"?>
<ds:datastoreItem xmlns:ds="http://schemas.openxmlformats.org/officeDocument/2006/customXml" ds:itemID="{7F4E9A5F-7C52-40A3-A2E7-F624FA188C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9F599AAF-26DA-4B9D-BCE2-ABC3FB19C1C3}">
  <ds:schemaRefs>
    <ds:schemaRef ds:uri="http://purl.org/dc/terms/"/>
    <ds:schemaRef ds:uri="http://purl.org/dc/elements/1.1/"/>
    <ds:schemaRef ds:uri="http://purl.org/dc/dcmitype/"/>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Instructions</vt:lpstr>
      <vt:lpstr>Preliminary Information</vt:lpstr>
      <vt:lpstr>Change log</vt:lpstr>
      <vt:lpstr>Document Control</vt:lpstr>
      <vt:lpstr>Source Data</vt:lpstr>
      <vt:lpstr>AdditionalArea</vt:lpstr>
      <vt:lpstr>Benefit_Type</vt:lpstr>
      <vt:lpstr>Capex?</vt:lpstr>
      <vt:lpstr>cashable</vt:lpstr>
      <vt:lpstr>Category</vt:lpstr>
      <vt:lpstr>CriticalitytoStart</vt:lpstr>
      <vt:lpstr>currency</vt:lpstr>
      <vt:lpstr>Currency_Code</vt:lpstr>
      <vt:lpstr>DemandManagementStatus</vt:lpstr>
      <vt:lpstr>DrivingBusiness</vt:lpstr>
      <vt:lpstr>financial</vt:lpstr>
      <vt:lpstr>Market</vt:lpstr>
      <vt:lpstr>NBEReference</vt:lpstr>
      <vt:lpstr>'Change log'!Print_Area</vt:lpstr>
      <vt:lpstr>Region</vt:lpstr>
      <vt:lpstr>riskimpactonbenefit</vt:lpstr>
      <vt:lpstr>riskimpactoncost</vt:lpstr>
      <vt:lpstr>risklikelihood</vt:lpstr>
      <vt:lpstr>stages</vt:lpstr>
      <vt:lpstr>startyear</vt:lpstr>
      <vt:lpstr>strategysupport</vt:lpstr>
      <vt:lpstr>StrategySupported</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kahmad1</dc:creator>
  <cp:lastModifiedBy>Glogowski,Detlef,BEIJING,LGO</cp:lastModifiedBy>
  <cp:lastPrinted>2015-10-23T08:39:05Z</cp:lastPrinted>
  <dcterms:created xsi:type="dcterms:W3CDTF">2013-01-16T18:14:32Z</dcterms:created>
  <dcterms:modified xsi:type="dcterms:W3CDTF">2016-03-15T00:42:14Z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0x010100270E934939A4EB428C17F8F1EC6165AB</vt:lpwstr>
  </property>
</Properties>
</file>